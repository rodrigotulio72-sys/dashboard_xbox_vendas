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8baa848416de4ae/Área de Trabalho/CURSO EXCEL/DESAFIO DE PROJETO/DASHBOArd de vendas xbox/"/>
    </mc:Choice>
  </mc:AlternateContent>
  <xr:revisionPtr revIDLastSave="326" documentId="11_AD4D361C20488DEA4E38A09964DF6FAA5ADEDD8F" xr6:coauthVersionLast="47" xr6:coauthVersionMax="47" xr10:uidLastSave="{CAF6E2FB-E4EB-41ED-9728-FAA53FA2A9B0}"/>
  <bookViews>
    <workbookView xWindow="-108" yWindow="-108" windowWidth="23256" windowHeight="12456" tabRatio="304" xr2:uid="{00000000-000D-0000-FFFF-FFFF00000000}"/>
  </bookViews>
  <sheets>
    <sheet name="Dashboard" sheetId="1" r:id="rId1"/>
    <sheet name="Dados" sheetId="2" state="hidden" r:id="rId2"/>
    <sheet name="Análises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L12" i="1"/>
  <c r="I12" i="1"/>
  <c r="E12" i="1"/>
  <c r="A12" i="1"/>
  <c r="J6" i="1"/>
  <c r="G6" i="1"/>
  <c r="D6" i="1"/>
  <c r="A6" i="1"/>
  <c r="B26" i="3"/>
  <c r="B25" i="3"/>
  <c r="B24" i="3"/>
  <c r="B23" i="3"/>
  <c r="B22" i="3"/>
  <c r="B21" i="3"/>
  <c r="B20" i="3"/>
  <c r="B19" i="3"/>
  <c r="B18" i="3"/>
  <c r="B17" i="3"/>
  <c r="B16" i="3"/>
  <c r="B15" i="3"/>
  <c r="F14" i="3"/>
  <c r="E14" i="3"/>
  <c r="F12" i="3"/>
  <c r="F13" i="3"/>
  <c r="E12" i="3"/>
  <c r="E13" i="3"/>
  <c r="J8" i="3"/>
  <c r="I8" i="3"/>
  <c r="J5" i="3"/>
  <c r="J6" i="3"/>
  <c r="J7" i="3"/>
  <c r="I5" i="3"/>
  <c r="I6" i="3"/>
  <c r="I7" i="3"/>
  <c r="F8" i="3"/>
  <c r="E8" i="3"/>
  <c r="F5" i="3"/>
  <c r="F6" i="3"/>
  <c r="F7" i="3"/>
  <c r="E5" i="3"/>
  <c r="E6" i="3"/>
  <c r="E7" i="3"/>
  <c r="B5" i="3"/>
  <c r="B6" i="3"/>
  <c r="B7" i="3"/>
  <c r="B8" i="3"/>
  <c r="B9" i="3"/>
  <c r="B10" i="3"/>
  <c r="B11" i="3"/>
</calcChain>
</file>

<file path=xl/sharedStrings.xml><?xml version="1.0" encoding="utf-8"?>
<sst xmlns="http://schemas.openxmlformats.org/spreadsheetml/2006/main" count="1823" uniqueCount="322">
  <si>
    <t>ANÁLISES E BASES DOS GRÁFICOS</t>
  </si>
  <si>
    <t>Subscriber ID</t>
  </si>
  <si>
    <t>Nome</t>
  </si>
  <si>
    <t>Plano</t>
  </si>
  <si>
    <t>Data de Início</t>
  </si>
  <si>
    <t>Renovação Automática</t>
  </si>
  <si>
    <t>Preço da Assinatura</t>
  </si>
  <si>
    <t>Tipo de Assinatura</t>
  </si>
  <si>
    <t>EA Play</t>
  </si>
  <si>
    <t>Preço EA Play</t>
  </si>
  <si>
    <t>Minecraft</t>
  </si>
  <si>
    <t>Preço Minecraft</t>
  </si>
  <si>
    <t>Cupom</t>
  </si>
  <si>
    <t>Valor Total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</si>
  <si>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</si>
  <si>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</si>
  <si>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</si>
  <si>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</si>
  <si>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</si>
  <si>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</si>
  <si>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</si>
  <si>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</si>
  <si>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</si>
  <si>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</si>
  <si>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</si>
  <si>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</si>
  <si>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</si>
  <si>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</si>
  <si>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</si>
  <si>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</si>
  <si>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</si>
  <si>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</si>
  <si>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</si>
  <si>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</si>
  <si>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</si>
  <si>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</si>
  <si>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</si>
  <si>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</si>
  <si>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</si>
  <si>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</si>
  <si>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</si>
  <si>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</si>
  <si>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</si>
  <si>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</si>
  <si>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</si>
  <si>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</si>
  <si>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</si>
  <si>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</si>
  <si>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</si>
  <si>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</si>
  <si>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</si>
  <si>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</si>
  <si>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</si>
  <si>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</si>
  <si>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</si>
  <si>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</si>
  <si>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</si>
  <si>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</si>
  <si>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</si>
  <si>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</si>
  <si>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</si>
  <si>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</si>
  <si>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</si>
  <si>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</si>
  <si>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</si>
  <si>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</si>
  <si>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</si>
  <si>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</si>
  <si>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</si>
  <si>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</si>
  <si>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</si>
  <si>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</si>
  <si>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</si>
  <si>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</si>
  <si>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</si>
  <si>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</si>
  <si>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</si>
  <si>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</si>
  <si>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</si>
  <si>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</si>
  <si>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</si>
  <si>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</si>
  <si>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</si>
  <si>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</si>
  <si>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</si>
  <si>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</si>
  <si>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</si>
  <si>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</si>
  <si>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</si>
  <si>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</si>
  <si>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</si>
  <si>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</si>
  <si>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</si>
  <si>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</si>
  <si>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</si>
  <si>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</si>
  <si>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</si>
  <si>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</si>
  <si>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</si>
  <si>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</si>
  <si>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</si>
  <si>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</si>
  <si>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</si>
  <si>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</si>
  <si>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</si>
  <si>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</si>
  <si>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</si>
  <si>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</si>
  <si>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</si>
  <si>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</si>
  <si>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</si>
  <si>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</si>
  <si>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</si>
  <si>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</si>
  <si>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</si>
  <si>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</si>
  <si>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</si>
  <si>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</si>
  <si>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</si>
  <si>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</si>
  <si>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</si>
  <si>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</si>
  <si>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</si>
  <si>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</si>
  <si>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</si>
  <si>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</si>
  <si>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</si>
  <si>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</si>
  <si>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</si>
  <si>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</si>
  <si>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</si>
  <si>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</si>
  <si>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</si>
  <si>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</si>
  <si>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</si>
  <si>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</si>
  <si>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</si>
  <si>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</si>
  <si>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</si>
  <si>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</si>
  <si>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</si>
  <si>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</si>
  <si>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</si>
  <si>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</si>
  <si>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</si>
  <si>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</si>
  <si>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</si>
  <si>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</si>
  <si>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</si>
  <si>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</si>
  <si>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</si>
  <si>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</si>
  <si>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</si>
  <si>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</si>
  <si>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</si>
  <si>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</si>
  <si>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</si>
  <si>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</si>
  <si>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</si>
  <si>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</si>
  <si>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</si>
  <si>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</si>
  <si>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</si>
  <si>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</si>
  <si>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</si>
  <si>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</si>
  <si>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</si>
  <si>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</si>
  <si>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</si>
  <si>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</si>
  <si>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</si>
  <si>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</si>
  <si>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</si>
  <si>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</si>
  <si>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</si>
  <si>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</si>
  <si>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</si>
  <si>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</si>
  <si>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</si>
  <si>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</si>
  <si>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</si>
  <si>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</si>
  <si>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</si>
  <si>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</si>
  <si>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</si>
  <si>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</si>
  <si>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</si>
  <si>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</si>
  <si>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</si>
  <si>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</si>
  <si>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</si>
  <si>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</si>
  <si>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</si>
  <si>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</si>
  <si>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</si>
  <si>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</si>
  <si>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</si>
  <si>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</si>
  <si>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</si>
  <si>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</si>
  <si>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</si>
  <si>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</si>
  <si>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</si>
  <si>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</si>
  <si>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</si>
  <si>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</si>
  <si>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</si>
  <si>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</si>
  <si>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</si>
  <si>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</si>
  <si>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</si>
  <si>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</si>
  <si>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</si>
  <si>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</si>
  <si>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</si>
  <si>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</si>
  <si>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</si>
  <si>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</si>
  <si>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</si>
  <si>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</si>
  <si>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</si>
  <si>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</si>
  <si>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</si>
  <si>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</si>
  <si>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</si>
  <si>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</si>
  <si>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</si>
  <si>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</si>
  <si>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</si>
  <si>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</si>
  <si>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</si>
  <si>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</si>
  <si>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</si>
  <si>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</si>
  <si>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</si>
  <si>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</si>
  <si>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</si>
  <si>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</si>
  <si>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</si>
  <si>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</si>
  <si>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</si>
  <si>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</si>
  <si>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</si>
  <si>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</si>
  <si>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</si>
  <si>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</si>
  <si>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</si>
  <si>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</si>
  <si>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</si>
  <si>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</si>
  <si>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</si>
  <si>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</si>
  <si>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</si>
  <si>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</si>
  <si>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</si>
  <si>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</si>
  <si>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</si>
  <si>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</si>
  <si>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</si>
  <si>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</si>
  <si>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</si>
  <si>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</si>
  <si>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</si>
  <si>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</si>
  <si>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</si>
  <si>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</si>
  <si>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</si>
  <si>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</si>
  <si>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</si>
  <si>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</si>
  <si>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</si>
  <si>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</si>
  <si>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</si>
  <si>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</si>
  <si>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</si>
  <si>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</si>
  <si>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</si>
  <si>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</si>
  <si>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</si>
  <si>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</si>
  <si>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</si>
  <si>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</si>
  <si>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</si>
  <si>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</si>
  <si>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</si>
  <si>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</si>
  <si>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</si>
  <si>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</si>
  <si>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</si>
  <si>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</si>
  <si>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</si>
  <si>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</si>
  <si>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</si>
  <si>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</si>
  <si>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</si>
  <si>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</si>
  <si>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</si>
  <si>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</si>
  <si>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</si>
  <si>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</si>
  <si>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</si>
  <si>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</si>
  <si>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Indicador</t>
  </si>
  <si>
    <t>Valor</t>
  </si>
  <si>
    <t>Receita Total</t>
  </si>
  <si>
    <t>Assinantes</t>
  </si>
  <si>
    <t>Ticket Médio</t>
  </si>
  <si>
    <t>Taxa de Renovação</t>
  </si>
  <si>
    <t>Receita EA Play</t>
  </si>
  <si>
    <t>Receita Minecraft</t>
  </si>
  <si>
    <t>Cupons Concedidos</t>
  </si>
  <si>
    <t>Receita</t>
  </si>
  <si>
    <t>Total</t>
  </si>
  <si>
    <t>Mês</t>
  </si>
  <si>
    <t>RECEITA TOTAL</t>
  </si>
  <si>
    <t>ASSINANTES</t>
  </si>
  <si>
    <t>TICKET MÉDIO</t>
  </si>
  <si>
    <t>RENOVAÇÃO AUTOMÁTICA</t>
  </si>
  <si>
    <t>RECEITA EA PLAY</t>
  </si>
  <si>
    <t>RECEITA MINECRAFT</t>
  </si>
  <si>
    <t>RECEITA ANUAL</t>
  </si>
  <si>
    <t>CUPONS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</si>
</sst>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Aptos"/>
      <family val="2"/>
    </font>
    <font>
      <b/>
      <sz val="10"/>
      <color rgb="FF667085"/>
      <name val="Aptos"/>
      <family val="2"/>
    </font>
    <font>
      <b/>
      <sz val="24"/>
      <color rgb="FF111827"/>
      <name val="Aptos"/>
      <family val="2"/>
    </font>
    <font>
      <b/>
      <sz val="17"/>
      <color rgb="FF111827"/>
      <name val="Aptos"/>
      <family val="2"/>
    </font>
    <font>
      <b/>
      <sz val="20"/>
      <color rgb="FFFFFFFF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107C1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4" fontId="0" fillId="0" borderId="0" xfId="0" applyNumberFormat="1"/>
    <xf numFmtId="164" fontId="0" fillId="0" borderId="0" xfId="0" applyNumberFormat="1"/>
    <xf numFmtId="0" fontId="4" fillId="4" borderId="0" xfId="0" applyFont="1" applyFill="1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164" fontId="4" fillId="4" borderId="0" xfId="0" applyNumberFormat="1" applyFont="1" applyFill="1"/>
    <xf numFmtId="17" fontId="1" fillId="0" borderId="0" xfId="0" applyNumberFormat="1" applyFont="1"/>
    <xf numFmtId="0" fontId="5" fillId="5" borderId="0" xfId="0" applyFont="1" applyFill="1" applyAlignment="1">
      <alignment horizontal="center" vertical="center"/>
    </xf>
    <xf numFmtId="164" fontId="6" fillId="5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" fontId="6" fillId="5" borderId="0" xfId="0" applyNumberFormat="1" applyFont="1" applyFill="1" applyBorder="1" applyAlignment="1">
      <alignment horizontal="center" vertical="center"/>
    </xf>
    <xf numFmtId="165" fontId="6" fillId="5" borderId="0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7" fillId="5" borderId="0" xfId="0" applyNumberFormat="1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07C10"/>
        </patternFill>
      </fill>
      <alignment horizontal="general" vertical="center" textRotation="0" wrapText="0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1182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11827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Análises!$E$4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numFmt formatCode="\R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111827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Análises!$D$5:$D$7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Análises!$E$5:$E$7</c:f>
              <c:numCache>
                <c:formatCode>"R$"\ 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8-4EE4-851B-6497F8B22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772112"/>
        <c:axId val="1090807600"/>
      </c:barChart>
      <c:catAx>
        <c:axId val="10007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807600"/>
        <c:crosses val="autoZero"/>
        <c:auto val="1"/>
        <c:lblAlgn val="ctr"/>
        <c:lblOffset val="100"/>
        <c:noMultiLvlLbl val="0"/>
      </c:catAx>
      <c:valAx>
        <c:axId val="10908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77211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1182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Periodicidade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11827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Análises!$I$4</c:f>
              <c:strCache>
                <c:ptCount val="1"/>
                <c:pt idx="0">
                  <c:v>Receita</c:v>
                </c:pt>
              </c:strCache>
            </c:strRef>
          </c:tx>
          <c:dPt>
            <c:idx val="0"/>
            <c:bubble3D val="0"/>
            <c:spPr>
              <a:solidFill>
                <a:srgbClr val="107C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68-4D09-B5CD-2D8C0A820A00}"/>
              </c:ext>
            </c:extLst>
          </c:dPt>
          <c:dPt>
            <c:idx val="1"/>
            <c:bubble3D val="0"/>
            <c:spPr>
              <a:solidFill>
                <a:srgbClr val="38A16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D68-4D09-B5CD-2D8C0A820A00}"/>
              </c:ext>
            </c:extLst>
          </c:dPt>
          <c:dPt>
            <c:idx val="2"/>
            <c:bubble3D val="0"/>
            <c:spPr>
              <a:solidFill>
                <a:srgbClr val="A7D46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68-4D09-B5CD-2D8C0A820A00}"/>
              </c:ext>
            </c:extLst>
          </c:dPt>
          <c:dLbls>
            <c:dLbl>
              <c:idx val="0"/>
              <c:layout>
                <c:manualLayout>
                  <c:x val="0.18614718614718614"/>
                  <c:y val="-0.196759076990376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111827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36F1E1C-C149-4C66-AAB5-1E032FAA5A59}" type="CATEGORYNAME">
                      <a:rPr lang="en-US" sz="1400"/>
                      <a:pPr>
                        <a:defRPr sz="1000" b="1">
                          <a:solidFill>
                            <a:srgbClr val="111827"/>
                          </a:solidFill>
                        </a:defRPr>
                      </a:pPr>
                      <a:t>[NOME DA CATEGORIA]</a:t>
                    </a:fld>
                    <a:r>
                      <a:rPr lang="en-US" baseline="0"/>
                      <a:t>; </a:t>
                    </a:r>
                    <a:fld id="{20E498FD-13BD-4412-9464-A9915DD8C446}" type="VALUE">
                      <a:rPr lang="en-US" baseline="0"/>
                      <a:pPr>
                        <a:defRPr sz="1000" b="1">
                          <a:solidFill>
                            <a:srgbClr val="111827"/>
                          </a:solidFill>
                        </a:defRPr>
                      </a:pPr>
                      <a:t>[VALOR]</a:t>
                    </a:fld>
                    <a:endParaRPr lang="en-US" baseline="0"/>
                  </a:p>
                </c:rich>
              </c:tx>
              <c:numFmt formatCode="\R&quot;R$&quot;\ #.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111827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58008658008658"/>
                      <c:h val="0.1963425925925925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D68-4D09-B5CD-2D8C0A820A00}"/>
                </c:ext>
              </c:extLst>
            </c:dLbl>
            <c:dLbl>
              <c:idx val="1"/>
              <c:layout>
                <c:manualLayout>
                  <c:x val="-0.24891774891774895"/>
                  <c:y val="9.027777777777777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111827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409327D-6ADA-4E2D-9BD3-06F0F0F3CA32}" type="CATEGORYNAME">
                      <a:rPr lang="en-US"/>
                      <a:pPr>
                        <a:defRPr sz="1000" b="1">
                          <a:solidFill>
                            <a:srgbClr val="111827"/>
                          </a:solidFill>
                        </a:defRPr>
                      </a:pPr>
                      <a:t>[NOME DA CATEGORIA]</a:t>
                    </a:fld>
                    <a:r>
                      <a:rPr lang="en-US" baseline="0"/>
                      <a:t>; </a:t>
                    </a:r>
                    <a:fld id="{19594FF6-D004-4348-B30C-0755FD1C7D87}" type="VALUE">
                      <a:rPr lang="en-US" sz="1400" baseline="0"/>
                      <a:pPr>
                        <a:defRPr sz="1000" b="1">
                          <a:solidFill>
                            <a:srgbClr val="111827"/>
                          </a:solidFill>
                        </a:defRPr>
                      </a:pPr>
                      <a:t>[VALOR]</a:t>
                    </a:fld>
                    <a:endParaRPr lang="en-US" baseline="0"/>
                  </a:p>
                </c:rich>
              </c:tx>
              <c:numFmt formatCode="\R&quot;R$&quot;\ #.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111827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153679653679655"/>
                      <c:h val="0.1870833333333333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D68-4D09-B5CD-2D8C0A820A00}"/>
                </c:ext>
              </c:extLst>
            </c:dLbl>
            <c:dLbl>
              <c:idx val="2"/>
              <c:layout>
                <c:manualLayout>
                  <c:x val="-0.21103896103896103"/>
                  <c:y val="-2.314814814814816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111827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C5D3B6C-A4F5-4C9C-871D-D442A8FACE05}" type="CATEGORYNAME">
                      <a:rPr lang="en-US" sz="1400"/>
                      <a:pPr>
                        <a:defRPr sz="1000" b="1">
                          <a:solidFill>
                            <a:srgbClr val="111827"/>
                          </a:solidFill>
                        </a:defRPr>
                      </a:pPr>
                      <a:t>[NOME DA CATEGORIA]</a:t>
                    </a:fld>
                    <a:r>
                      <a:rPr lang="en-US" baseline="0"/>
                      <a:t>; </a:t>
                    </a:r>
                    <a:fld id="{5579D837-6379-447A-BEFD-8CE3074DD6C0}" type="VALUE">
                      <a:rPr lang="en-US" baseline="0"/>
                      <a:pPr>
                        <a:defRPr sz="1000" b="1">
                          <a:solidFill>
                            <a:srgbClr val="111827"/>
                          </a:solidFill>
                        </a:defRPr>
                      </a:pPr>
                      <a:t>[VALOR]</a:t>
                    </a:fld>
                    <a:endParaRPr lang="en-US" baseline="0"/>
                  </a:p>
                </c:rich>
              </c:tx>
              <c:numFmt formatCode="\R&quot;R$&quot;\ #.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111827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93714422060878"/>
                      <c:h val="0.1629862933799941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D68-4D09-B5CD-2D8C0A820A00}"/>
                </c:ext>
              </c:extLst>
            </c:dLbl>
            <c:numFmt formatCode="\R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11827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Análises!$H$5:$H$7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Análises!$I$5:$I$7</c:f>
              <c:numCache>
                <c:formatCode>"R$"\ #,##0.00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8-4D09-B5CD-2D8C0A820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1182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Mensal da 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11827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Análises!$B$14</c:f>
              <c:strCache>
                <c:ptCount val="1"/>
                <c:pt idx="0">
                  <c:v>Receita</c:v>
                </c:pt>
              </c:strCache>
            </c:strRef>
          </c:tx>
          <c:spPr>
            <a:ln w="34925" cap="rnd" cmpd="sng" algn="ctr">
              <a:solidFill>
                <a:srgbClr val="107C1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\R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111827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Análises!$A$15:$A$26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Análises!$B$15:$B$26</c:f>
              <c:numCache>
                <c:formatCode>"R$"\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0-4A18-80FD-FACCBB520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825008"/>
        <c:axId val="1090860880"/>
      </c:lineChart>
      <c:dateAx>
        <c:axId val="1000825008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860880"/>
        <c:crosses val="autoZero"/>
        <c:auto val="0"/>
        <c:lblOffset val="100"/>
        <c:baseTimeUnit val="months"/>
      </c:dateAx>
      <c:valAx>
        <c:axId val="1090860880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825008"/>
        <c:crosses val="autoZero"/>
        <c:crossBetween val="between"/>
        <c:majorUnit val="200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4" name="Receita por Plano">
          <a:extLst>
            <a:ext uri="{FF2B5EF4-FFF2-40B4-BE49-F238E27FC236}">
              <a16:creationId xmlns:a16="http://schemas.microsoft.com/office/drawing/2014/main" id="{5730806D-5E8F-B6D9-7CFE-9AD438F95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5" name="Receita por Periodicidade">
          <a:extLst>
            <a:ext uri="{FF2B5EF4-FFF2-40B4-BE49-F238E27FC236}">
              <a16:creationId xmlns:a16="http://schemas.microsoft.com/office/drawing/2014/main" id="{E4C565A5-575C-0206-0E9E-42AC93885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14</xdr:col>
      <xdr:colOff>0</xdr:colOff>
      <xdr:row>53</xdr:row>
      <xdr:rowOff>111760</xdr:rowOff>
    </xdr:to>
    <xdr:graphicFrame macro="">
      <xdr:nvGraphicFramePr>
        <xdr:cNvPr id="6" name="Evolução Mensal da Receita">
          <a:extLst>
            <a:ext uri="{FF2B5EF4-FFF2-40B4-BE49-F238E27FC236}">
              <a16:creationId xmlns:a16="http://schemas.microsoft.com/office/drawing/2014/main" id="{A85DEAA4-F6B5-828C-8901-A1501B0F6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10861-4999-41F9-9C9B-1DA8574808A4}" name="tbVendas" displayName="tbVendas" ref="A1:M296" totalsRowShown="0" headerRowDxfId="0">
  <autoFilter ref="A1:M296" xr:uid="{CB910861-4999-41F9-9C9B-1DA8574808A4}"/>
  <tableColumns count="13">
    <tableColumn id="1" xr3:uid="{33794D29-85E4-4E7A-BB04-E407D58CDE6C}" name="Subscriber ID"/>
    <tableColumn id="2" xr3:uid="{C579D474-9384-44CF-98C8-21611C4CB853}" name="Nome"/>
    <tableColumn id="3" xr3:uid="{92C15139-25AE-4FEE-B92F-5AD119DF2955}" name="Plano"/>
    <tableColumn id="4" xr3:uid="{44C8E2B5-1615-4EE7-AF9F-C68608FA9747}" name="Data de Início" dataDxfId="6"/>
    <tableColumn id="5" xr3:uid="{90D0C824-8756-4ED3-AB10-5083461328EB}" name="Renovação Automática"/>
    <tableColumn id="6" xr3:uid="{79A23E31-AD07-45B3-B0A1-645FD0CC6026}" name="Preço da Assinatura" dataDxfId="5"/>
    <tableColumn id="7" xr3:uid="{635E553A-88DE-430C-8B8D-4371BE6B8BAC}" name="Tipo de Assinatura"/>
    <tableColumn id="8" xr3:uid="{E55341AC-B36D-4D36-B041-32F1E5C50227}" name="EA Play"/>
    <tableColumn id="9" xr3:uid="{67D38952-D916-40B2-8EE4-E06E61D5F3B0}" name="Preço EA Play" dataDxfId="4"/>
    <tableColumn id="10" xr3:uid="{45EBD863-9919-4394-A9BA-0A2A0B5A7055}" name="Minecraft"/>
    <tableColumn id="11" xr3:uid="{3E4B3778-3CAC-4617-B2A8-C4C4E9D00CB5}" name="Preço Minecraft" dataDxfId="3"/>
    <tableColumn id="12" xr3:uid="{3AF3328F-009D-4D29-A21B-7C87006B94E2}" name="Cupom" dataDxfId="2"/>
    <tableColumn id="13" xr3:uid="{A17A806C-87C2-4D9B-BD7D-0E6E9BC94511}" name="Valor Total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showGridLines="0" showRowColHeaders="0" tabSelected="1" topLeftCell="A15" workbookViewId="0">
      <selection sqref="A1:N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12.5546875" customWidth="1"/>
    <col min="2" max="14" width="12.21875" customWidth="1"/>
  </cols>
  <sheetData>
    <row r="1" spans="1:14" ht="24" customHeight="1" x14ac:dyDescent="0.3">
      <c r="A1" s="22" t="str">
        <f>"XBOX GAME PASS | PAINEL DE VENDAS  •  PERÍODO: "&amp;TEXT(MIN(Dados!$D$2:$D$296),"dd/mm/aaaa")&amp;" A "&amp;TEXT(MAX(Dados!$D$2:$D$296),"dd/mm/aaaa")</f>
        <v>XBOX GAME PASS | PAINEL DE VENDAS  •  PERÍODO: 01/01/2024 A 16/12/2024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4" customHeigh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4" customHeigh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2.05" customHeight="1" x14ac:dyDescent="0.3">
      <c r="A5" s="13" t="s">
        <v>314</v>
      </c>
      <c r="B5" s="13"/>
      <c r="C5" s="13"/>
      <c r="D5" s="13" t="s">
        <v>315</v>
      </c>
      <c r="E5" s="13"/>
      <c r="F5" s="13"/>
      <c r="G5" s="13" t="s">
        <v>316</v>
      </c>
      <c r="H5" s="13"/>
      <c r="I5" s="13"/>
      <c r="J5" s="13" t="s">
        <v>317</v>
      </c>
      <c r="K5" s="13"/>
      <c r="L5" s="13"/>
      <c r="M5" s="13"/>
      <c r="N5" s="13"/>
    </row>
    <row r="6" spans="1:14" ht="22.95" customHeight="1" x14ac:dyDescent="0.3">
      <c r="A6" s="14">
        <f>Análises!B5</f>
        <v>7633</v>
      </c>
      <c r="B6" s="15"/>
      <c r="C6" s="15"/>
      <c r="D6" s="16">
        <f>Análises!B6</f>
        <v>295</v>
      </c>
      <c r="E6" s="15"/>
      <c r="F6" s="15"/>
      <c r="G6" s="14">
        <f>Análises!B7</f>
        <v>25.874576271186442</v>
      </c>
      <c r="H6" s="15"/>
      <c r="I6" s="15"/>
      <c r="J6" s="17">
        <f>Análises!B8</f>
        <v>0.50169491525423726</v>
      </c>
      <c r="K6" s="15"/>
      <c r="L6" s="15"/>
      <c r="M6" s="15"/>
      <c r="N6" s="15"/>
    </row>
    <row r="7" spans="1:14" ht="22.9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22.9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22.95" customHeight="1" thickBo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ht="22.05" customHeight="1" thickTop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2.05" customHeight="1" x14ac:dyDescent="0.3">
      <c r="A11" s="13" t="s">
        <v>318</v>
      </c>
      <c r="B11" s="13"/>
      <c r="C11" s="13"/>
      <c r="D11" s="13"/>
      <c r="E11" s="13" t="s">
        <v>319</v>
      </c>
      <c r="F11" s="13"/>
      <c r="G11" s="13"/>
      <c r="H11" s="13"/>
      <c r="I11" s="13" t="s">
        <v>320</v>
      </c>
      <c r="J11" s="13"/>
      <c r="K11" s="13"/>
      <c r="L11" s="13" t="s">
        <v>321</v>
      </c>
      <c r="M11" s="13"/>
      <c r="N11" s="13"/>
    </row>
    <row r="12" spans="1:14" ht="22.05" customHeight="1" x14ac:dyDescent="0.3">
      <c r="A12" s="19">
        <f>Análises!B9</f>
        <v>2940</v>
      </c>
      <c r="B12" s="20"/>
      <c r="C12" s="20"/>
      <c r="D12" s="20"/>
      <c r="E12" s="19">
        <f>Análises!B10</f>
        <v>3880</v>
      </c>
      <c r="F12" s="20"/>
      <c r="G12" s="20"/>
      <c r="H12" s="20"/>
      <c r="I12" s="19">
        <f>Análises!I7</f>
        <v>1754</v>
      </c>
      <c r="J12" s="20"/>
      <c r="K12" s="20"/>
      <c r="L12" s="19">
        <f>Análises!B11</f>
        <v>2122</v>
      </c>
      <c r="M12" s="20"/>
      <c r="N12" s="20"/>
    </row>
    <row r="13" spans="1:14" ht="22.05" customHeight="1" thickBot="1" x14ac:dyDescent="0.3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15" thickTop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17">
    <mergeCell ref="L11:N11"/>
    <mergeCell ref="L12:N13"/>
    <mergeCell ref="A11:D11"/>
    <mergeCell ref="A12:D13"/>
    <mergeCell ref="E11:H11"/>
    <mergeCell ref="E12:H13"/>
    <mergeCell ref="I11:K11"/>
    <mergeCell ref="I12:K13"/>
    <mergeCell ref="A1:N3"/>
    <mergeCell ref="A5:C5"/>
    <mergeCell ref="A6:C9"/>
    <mergeCell ref="D5:F5"/>
    <mergeCell ref="D6:F9"/>
    <mergeCell ref="G5:I5"/>
    <mergeCell ref="G6:I9"/>
    <mergeCell ref="J5:N5"/>
    <mergeCell ref="J6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6089-CA50-4867-A494-C625A9793052}">
  <dimension ref="A1:M296"/>
  <sheetViews>
    <sheetView workbookViewId="0">
      <pane ySplit="1" topLeftCell="A2" activePane="bottomLeft" state="frozen"/>
      <selection pane="bottomLeft" sqref="A1:N3"/>
    </sheetView>
  </sheetViews>
  <sheetFormatPr defaultRowHeight="19.05" customHeight="1" x14ac:dyDescent="0.3"/>
  <cols>
    <col min="1" max="1" width="14.21875" bestFit="1" customWidth="1"/>
    <col min="2" max="2" width="22.21875" customWidth="1"/>
    <col min="3" max="3" width="8.21875" bestFit="1" customWidth="1"/>
    <col min="4" max="4" width="14.6640625" bestFit="1" customWidth="1"/>
    <col min="5" max="5" width="23" bestFit="1" customWidth="1"/>
    <col min="6" max="6" width="20" bestFit="1" customWidth="1"/>
    <col min="7" max="7" width="18.77734375" bestFit="1" customWidth="1"/>
    <col min="8" max="8" width="9.44140625" bestFit="1" customWidth="1"/>
    <col min="9" max="9" width="14.6640625" bestFit="1" customWidth="1"/>
    <col min="10" max="10" width="11.44140625" bestFit="1" customWidth="1"/>
    <col min="11" max="11" width="16.77734375" bestFit="1" customWidth="1"/>
    <col min="12" max="12" width="9.33203125" bestFit="1" customWidth="1"/>
    <col min="13" max="13" width="12.33203125" bestFit="1" customWidth="1"/>
  </cols>
  <sheetData>
    <row r="1" spans="1:13" ht="31.9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 ht="19.05" customHeight="1" x14ac:dyDescent="0.3">
      <c r="A2">
        <v>3231</v>
      </c>
      <c r="B2" t="s">
        <v>14</v>
      </c>
      <c r="C2" t="s">
        <v>15</v>
      </c>
      <c r="D2" s="4">
        <v>45292</v>
      </c>
      <c r="E2" t="s">
        <v>16</v>
      </c>
      <c r="F2" s="5">
        <v>15</v>
      </c>
      <c r="G2" t="s">
        <v>17</v>
      </c>
      <c r="H2" t="s">
        <v>16</v>
      </c>
      <c r="I2" s="5">
        <v>30</v>
      </c>
      <c r="J2" t="s">
        <v>16</v>
      </c>
      <c r="K2" s="5">
        <v>20</v>
      </c>
      <c r="L2" s="5">
        <v>5</v>
      </c>
      <c r="M2" s="5">
        <v>60</v>
      </c>
    </row>
    <row r="3" spans="1:13" ht="19.05" customHeight="1" x14ac:dyDescent="0.3">
      <c r="A3">
        <v>3232</v>
      </c>
      <c r="B3" t="s">
        <v>18</v>
      </c>
      <c r="C3" t="s">
        <v>19</v>
      </c>
      <c r="D3" s="4">
        <v>45306</v>
      </c>
      <c r="E3" t="s">
        <v>20</v>
      </c>
      <c r="F3" s="5">
        <v>5</v>
      </c>
      <c r="G3" t="s">
        <v>21</v>
      </c>
      <c r="H3" t="s">
        <v>20</v>
      </c>
      <c r="I3" s="5">
        <v>0</v>
      </c>
      <c r="J3" t="s">
        <v>20</v>
      </c>
      <c r="K3" s="5">
        <v>0</v>
      </c>
      <c r="L3" s="5">
        <v>0</v>
      </c>
      <c r="M3" s="5">
        <v>5</v>
      </c>
    </row>
    <row r="4" spans="1:13" ht="19.05" customHeight="1" x14ac:dyDescent="0.3">
      <c r="A4">
        <v>3233</v>
      </c>
      <c r="B4" t="s">
        <v>22</v>
      </c>
      <c r="C4" t="s">
        <v>23</v>
      </c>
      <c r="D4" s="4">
        <v>45332</v>
      </c>
      <c r="E4" t="s">
        <v>16</v>
      </c>
      <c r="F4" s="5">
        <v>10</v>
      </c>
      <c r="G4" t="s">
        <v>24</v>
      </c>
      <c r="H4" t="s">
        <v>20</v>
      </c>
      <c r="I4" s="5">
        <v>0</v>
      </c>
      <c r="J4" t="s">
        <v>16</v>
      </c>
      <c r="K4" s="5">
        <v>20</v>
      </c>
      <c r="L4" s="5">
        <v>10</v>
      </c>
      <c r="M4" s="5">
        <v>20</v>
      </c>
    </row>
    <row r="5" spans="1:13" ht="19.05" customHeight="1" x14ac:dyDescent="0.3">
      <c r="A5">
        <v>3234</v>
      </c>
      <c r="B5" t="s">
        <v>25</v>
      </c>
      <c r="C5" t="s">
        <v>15</v>
      </c>
      <c r="D5" s="4">
        <v>45342</v>
      </c>
      <c r="E5" t="s">
        <v>20</v>
      </c>
      <c r="F5" s="5">
        <v>15</v>
      </c>
      <c r="G5" t="s">
        <v>17</v>
      </c>
      <c r="H5" t="s">
        <v>16</v>
      </c>
      <c r="I5" s="5">
        <v>30</v>
      </c>
      <c r="J5" t="s">
        <v>16</v>
      </c>
      <c r="K5" s="5">
        <v>20</v>
      </c>
      <c r="L5" s="5">
        <v>3</v>
      </c>
      <c r="M5" s="5">
        <v>62</v>
      </c>
    </row>
    <row r="6" spans="1:13" ht="19.05" customHeight="1" x14ac:dyDescent="0.3">
      <c r="A6">
        <v>3235</v>
      </c>
      <c r="B6" t="s">
        <v>26</v>
      </c>
      <c r="C6" t="s">
        <v>19</v>
      </c>
      <c r="D6" s="4">
        <v>45356</v>
      </c>
      <c r="E6" t="s">
        <v>16</v>
      </c>
      <c r="F6" s="5">
        <v>5</v>
      </c>
      <c r="G6" t="s">
        <v>17</v>
      </c>
      <c r="H6" t="s">
        <v>20</v>
      </c>
      <c r="I6" s="5">
        <v>0</v>
      </c>
      <c r="J6" t="s">
        <v>20</v>
      </c>
      <c r="K6" s="5">
        <v>0</v>
      </c>
      <c r="L6" s="5">
        <v>1</v>
      </c>
      <c r="M6" s="5">
        <v>4</v>
      </c>
    </row>
    <row r="7" spans="1:13" ht="19.05" customHeight="1" x14ac:dyDescent="0.3">
      <c r="A7">
        <v>3236</v>
      </c>
      <c r="B7" t="s">
        <v>27</v>
      </c>
      <c r="C7" t="s">
        <v>23</v>
      </c>
      <c r="D7" s="4">
        <v>45353</v>
      </c>
      <c r="E7" t="s">
        <v>20</v>
      </c>
      <c r="F7" s="5">
        <v>10</v>
      </c>
      <c r="G7" t="s">
        <v>17</v>
      </c>
      <c r="H7" t="s">
        <v>20</v>
      </c>
      <c r="I7" s="5">
        <v>0</v>
      </c>
      <c r="J7" t="s">
        <v>16</v>
      </c>
      <c r="K7" s="5">
        <v>20</v>
      </c>
      <c r="L7" s="5">
        <v>2</v>
      </c>
      <c r="M7" s="5">
        <v>28</v>
      </c>
    </row>
    <row r="8" spans="1:13" ht="19.05" customHeight="1" x14ac:dyDescent="0.3">
      <c r="A8">
        <v>3237</v>
      </c>
      <c r="B8" t="s">
        <v>28</v>
      </c>
      <c r="C8" t="s">
        <v>15</v>
      </c>
      <c r="D8" s="4">
        <v>45354</v>
      </c>
      <c r="E8" t="s">
        <v>16</v>
      </c>
      <c r="F8" s="5">
        <v>15</v>
      </c>
      <c r="G8" t="s">
        <v>24</v>
      </c>
      <c r="H8" t="s">
        <v>16</v>
      </c>
      <c r="I8" s="5">
        <v>30</v>
      </c>
      <c r="J8" t="s">
        <v>16</v>
      </c>
      <c r="K8" s="5">
        <v>20</v>
      </c>
      <c r="L8" s="5">
        <v>10</v>
      </c>
      <c r="M8" s="5">
        <v>55</v>
      </c>
    </row>
    <row r="9" spans="1:13" ht="19.05" customHeight="1" x14ac:dyDescent="0.3">
      <c r="A9">
        <v>3238</v>
      </c>
      <c r="B9" t="s">
        <v>29</v>
      </c>
      <c r="C9" t="s">
        <v>19</v>
      </c>
      <c r="D9" s="4">
        <v>45355</v>
      </c>
      <c r="E9" t="s">
        <v>16</v>
      </c>
      <c r="F9" s="5">
        <v>5</v>
      </c>
      <c r="G9" t="s">
        <v>21</v>
      </c>
      <c r="H9" t="s">
        <v>20</v>
      </c>
      <c r="I9" s="5">
        <v>0</v>
      </c>
      <c r="J9" t="s">
        <v>20</v>
      </c>
      <c r="K9" s="5">
        <v>0</v>
      </c>
      <c r="L9" s="5">
        <v>0</v>
      </c>
      <c r="M9" s="5">
        <v>5</v>
      </c>
    </row>
    <row r="10" spans="1:13" ht="19.05" customHeight="1" x14ac:dyDescent="0.3">
      <c r="A10">
        <v>3239</v>
      </c>
      <c r="B10" t="s">
        <v>30</v>
      </c>
      <c r="C10" t="s">
        <v>15</v>
      </c>
      <c r="D10" s="4">
        <v>45356</v>
      </c>
      <c r="E10" t="s">
        <v>20</v>
      </c>
      <c r="F10" s="5">
        <v>15</v>
      </c>
      <c r="G10" t="s">
        <v>17</v>
      </c>
      <c r="H10" t="s">
        <v>16</v>
      </c>
      <c r="I10" s="5">
        <v>30</v>
      </c>
      <c r="J10" t="s">
        <v>16</v>
      </c>
      <c r="K10" s="5">
        <v>20</v>
      </c>
      <c r="L10" s="5">
        <v>5</v>
      </c>
      <c r="M10" s="5">
        <v>60</v>
      </c>
    </row>
    <row r="11" spans="1:13" ht="19.05" customHeight="1" x14ac:dyDescent="0.3">
      <c r="A11">
        <v>3240</v>
      </c>
      <c r="B11" t="s">
        <v>31</v>
      </c>
      <c r="C11" t="s">
        <v>23</v>
      </c>
      <c r="D11" s="4">
        <v>45357</v>
      </c>
      <c r="E11" t="s">
        <v>16</v>
      </c>
      <c r="F11" s="5">
        <v>10</v>
      </c>
      <c r="G11" t="s">
        <v>24</v>
      </c>
      <c r="H11" t="s">
        <v>20</v>
      </c>
      <c r="I11" s="5">
        <v>0</v>
      </c>
      <c r="J11" t="s">
        <v>16</v>
      </c>
      <c r="K11" s="5">
        <v>20</v>
      </c>
      <c r="L11" s="5">
        <v>15</v>
      </c>
      <c r="M11" s="5">
        <v>15</v>
      </c>
    </row>
    <row r="12" spans="1:13" ht="19.05" customHeight="1" x14ac:dyDescent="0.3">
      <c r="A12">
        <v>3241</v>
      </c>
      <c r="B12" t="s">
        <v>32</v>
      </c>
      <c r="C12" t="s">
        <v>19</v>
      </c>
      <c r="D12" s="4">
        <v>45358</v>
      </c>
      <c r="E12" t="s">
        <v>20</v>
      </c>
      <c r="F12" s="5">
        <v>5</v>
      </c>
      <c r="G12" t="s">
        <v>17</v>
      </c>
      <c r="H12" t="s">
        <v>20</v>
      </c>
      <c r="I12" s="5">
        <v>0</v>
      </c>
      <c r="J12" t="s">
        <v>20</v>
      </c>
      <c r="K12" s="5">
        <v>0</v>
      </c>
      <c r="L12" s="5">
        <v>1</v>
      </c>
      <c r="M12" s="5">
        <v>4</v>
      </c>
    </row>
    <row r="13" spans="1:13" ht="19.05" customHeight="1" x14ac:dyDescent="0.3">
      <c r="A13">
        <v>3242</v>
      </c>
      <c r="B13" t="s">
        <v>33</v>
      </c>
      <c r="C13" t="s">
        <v>15</v>
      </c>
      <c r="D13" s="4">
        <v>45359</v>
      </c>
      <c r="E13" t="s">
        <v>16</v>
      </c>
      <c r="F13" s="5">
        <v>15</v>
      </c>
      <c r="G13" t="s">
        <v>21</v>
      </c>
      <c r="H13" t="s">
        <v>16</v>
      </c>
      <c r="I13" s="5">
        <v>30</v>
      </c>
      <c r="J13" t="s">
        <v>16</v>
      </c>
      <c r="K13" s="5">
        <v>20</v>
      </c>
      <c r="L13" s="5">
        <v>20</v>
      </c>
      <c r="M13" s="5">
        <v>45</v>
      </c>
    </row>
    <row r="14" spans="1:13" ht="19.05" customHeight="1" x14ac:dyDescent="0.3">
      <c r="A14">
        <v>3243</v>
      </c>
      <c r="B14" t="s">
        <v>34</v>
      </c>
      <c r="C14" t="s">
        <v>23</v>
      </c>
      <c r="D14" s="4">
        <v>45360</v>
      </c>
      <c r="E14" t="s">
        <v>20</v>
      </c>
      <c r="F14" s="5">
        <v>10</v>
      </c>
      <c r="G14" t="s">
        <v>17</v>
      </c>
      <c r="H14" t="s">
        <v>20</v>
      </c>
      <c r="I14" s="5">
        <v>0</v>
      </c>
      <c r="J14" t="s">
        <v>16</v>
      </c>
      <c r="K14" s="5">
        <v>20</v>
      </c>
      <c r="L14" s="5">
        <v>10</v>
      </c>
      <c r="M14" s="5">
        <v>20</v>
      </c>
    </row>
    <row r="15" spans="1:13" ht="19.05" customHeight="1" x14ac:dyDescent="0.3">
      <c r="A15">
        <v>3244</v>
      </c>
      <c r="B15" t="s">
        <v>35</v>
      </c>
      <c r="C15" t="s">
        <v>19</v>
      </c>
      <c r="D15" s="4">
        <v>45361</v>
      </c>
      <c r="E15" t="s">
        <v>16</v>
      </c>
      <c r="F15" s="5">
        <v>5</v>
      </c>
      <c r="G15" t="s">
        <v>24</v>
      </c>
      <c r="H15" t="s">
        <v>20</v>
      </c>
      <c r="I15" s="5">
        <v>0</v>
      </c>
      <c r="J15" t="s">
        <v>20</v>
      </c>
      <c r="K15" s="5">
        <v>0</v>
      </c>
      <c r="L15" s="5">
        <v>0</v>
      </c>
      <c r="M15" s="5">
        <v>5</v>
      </c>
    </row>
    <row r="16" spans="1:13" ht="19.05" customHeight="1" x14ac:dyDescent="0.3">
      <c r="A16">
        <v>3245</v>
      </c>
      <c r="B16" t="s">
        <v>36</v>
      </c>
      <c r="C16" t="s">
        <v>15</v>
      </c>
      <c r="D16" s="4">
        <v>45362</v>
      </c>
      <c r="E16" t="s">
        <v>20</v>
      </c>
      <c r="F16" s="5">
        <v>15</v>
      </c>
      <c r="G16" t="s">
        <v>17</v>
      </c>
      <c r="H16" t="s">
        <v>16</v>
      </c>
      <c r="I16" s="5">
        <v>30</v>
      </c>
      <c r="J16" t="s">
        <v>16</v>
      </c>
      <c r="K16" s="5">
        <v>20</v>
      </c>
      <c r="L16" s="5">
        <v>8</v>
      </c>
      <c r="M16" s="5">
        <v>57</v>
      </c>
    </row>
    <row r="17" spans="1:13" ht="19.05" customHeight="1" x14ac:dyDescent="0.3">
      <c r="A17">
        <v>3246</v>
      </c>
      <c r="B17" t="s">
        <v>37</v>
      </c>
      <c r="C17" t="s">
        <v>23</v>
      </c>
      <c r="D17" s="4">
        <v>45363</v>
      </c>
      <c r="E17" t="s">
        <v>16</v>
      </c>
      <c r="F17" s="5">
        <v>10</v>
      </c>
      <c r="G17" t="s">
        <v>21</v>
      </c>
      <c r="H17" t="s">
        <v>20</v>
      </c>
      <c r="I17" s="5">
        <v>0</v>
      </c>
      <c r="J17" t="s">
        <v>16</v>
      </c>
      <c r="K17" s="5">
        <v>20</v>
      </c>
      <c r="L17" s="5">
        <v>12</v>
      </c>
      <c r="M17" s="5">
        <v>18</v>
      </c>
    </row>
    <row r="18" spans="1:13" ht="19.05" customHeight="1" x14ac:dyDescent="0.3">
      <c r="A18">
        <v>3247</v>
      </c>
      <c r="B18" t="s">
        <v>38</v>
      </c>
      <c r="C18" t="s">
        <v>19</v>
      </c>
      <c r="D18" s="4">
        <v>45364</v>
      </c>
      <c r="E18" t="s">
        <v>20</v>
      </c>
      <c r="F18" s="5">
        <v>5</v>
      </c>
      <c r="G18" t="s">
        <v>17</v>
      </c>
      <c r="H18" t="s">
        <v>20</v>
      </c>
      <c r="I18" s="5">
        <v>0</v>
      </c>
      <c r="J18" t="s">
        <v>20</v>
      </c>
      <c r="K18" s="5">
        <v>0</v>
      </c>
      <c r="L18" s="5">
        <v>2</v>
      </c>
      <c r="M18" s="5">
        <v>3</v>
      </c>
    </row>
    <row r="19" spans="1:13" ht="19.05" customHeight="1" x14ac:dyDescent="0.3">
      <c r="A19">
        <v>3248</v>
      </c>
      <c r="B19" t="s">
        <v>39</v>
      </c>
      <c r="C19" t="s">
        <v>15</v>
      </c>
      <c r="D19" s="4">
        <v>45365</v>
      </c>
      <c r="E19" t="s">
        <v>16</v>
      </c>
      <c r="F19" s="5">
        <v>15</v>
      </c>
      <c r="G19" t="s">
        <v>24</v>
      </c>
      <c r="H19" t="s">
        <v>16</v>
      </c>
      <c r="I19" s="5">
        <v>30</v>
      </c>
      <c r="J19" t="s">
        <v>16</v>
      </c>
      <c r="K19" s="5">
        <v>20</v>
      </c>
      <c r="L19" s="5">
        <v>7</v>
      </c>
      <c r="M19" s="5">
        <v>58</v>
      </c>
    </row>
    <row r="20" spans="1:13" ht="19.05" customHeight="1" x14ac:dyDescent="0.3">
      <c r="A20">
        <v>3249</v>
      </c>
      <c r="B20" t="s">
        <v>40</v>
      </c>
      <c r="C20" t="s">
        <v>23</v>
      </c>
      <c r="D20" s="4">
        <v>45366</v>
      </c>
      <c r="E20" t="s">
        <v>20</v>
      </c>
      <c r="F20" s="5">
        <v>10</v>
      </c>
      <c r="G20" t="s">
        <v>17</v>
      </c>
      <c r="H20" t="s">
        <v>20</v>
      </c>
      <c r="I20" s="5">
        <v>0</v>
      </c>
      <c r="J20" t="s">
        <v>16</v>
      </c>
      <c r="K20" s="5">
        <v>20</v>
      </c>
      <c r="L20" s="5">
        <v>5</v>
      </c>
      <c r="M20" s="5">
        <v>25</v>
      </c>
    </row>
    <row r="21" spans="1:13" ht="19.05" customHeight="1" x14ac:dyDescent="0.3">
      <c r="A21">
        <v>3250</v>
      </c>
      <c r="B21" t="s">
        <v>41</v>
      </c>
      <c r="C21" t="s">
        <v>19</v>
      </c>
      <c r="D21" s="4">
        <v>45367</v>
      </c>
      <c r="E21" t="s">
        <v>16</v>
      </c>
      <c r="F21" s="5">
        <v>5</v>
      </c>
      <c r="G21" t="s">
        <v>21</v>
      </c>
      <c r="H21" t="s">
        <v>20</v>
      </c>
      <c r="I21" s="5">
        <v>0</v>
      </c>
      <c r="J21" t="s">
        <v>20</v>
      </c>
      <c r="K21" s="5">
        <v>0</v>
      </c>
      <c r="L21" s="5">
        <v>0</v>
      </c>
      <c r="M21" s="5">
        <v>5</v>
      </c>
    </row>
    <row r="22" spans="1:13" ht="19.05" customHeight="1" x14ac:dyDescent="0.3">
      <c r="A22">
        <v>3251</v>
      </c>
      <c r="B22" t="s">
        <v>42</v>
      </c>
      <c r="C22" t="s">
        <v>15</v>
      </c>
      <c r="D22" s="4">
        <v>45368</v>
      </c>
      <c r="E22" t="s">
        <v>20</v>
      </c>
      <c r="F22" s="5">
        <v>15</v>
      </c>
      <c r="G22" t="s">
        <v>17</v>
      </c>
      <c r="H22" t="s">
        <v>16</v>
      </c>
      <c r="I22" s="5">
        <v>30</v>
      </c>
      <c r="J22" t="s">
        <v>16</v>
      </c>
      <c r="K22" s="5">
        <v>20</v>
      </c>
      <c r="L22" s="5">
        <v>3</v>
      </c>
      <c r="M22" s="5">
        <v>62</v>
      </c>
    </row>
    <row r="23" spans="1:13" ht="19.05" customHeight="1" x14ac:dyDescent="0.3">
      <c r="A23">
        <v>3252</v>
      </c>
      <c r="B23" t="s">
        <v>43</v>
      </c>
      <c r="C23" t="s">
        <v>23</v>
      </c>
      <c r="D23" s="4">
        <v>45369</v>
      </c>
      <c r="E23" t="s">
        <v>16</v>
      </c>
      <c r="F23" s="5">
        <v>10</v>
      </c>
      <c r="G23" t="s">
        <v>24</v>
      </c>
      <c r="H23" t="s">
        <v>20</v>
      </c>
      <c r="I23" s="5">
        <v>0</v>
      </c>
      <c r="J23" t="s">
        <v>16</v>
      </c>
      <c r="K23" s="5">
        <v>20</v>
      </c>
      <c r="L23" s="5">
        <v>15</v>
      </c>
      <c r="M23" s="5">
        <v>15</v>
      </c>
    </row>
    <row r="24" spans="1:13" ht="19.05" customHeight="1" x14ac:dyDescent="0.3">
      <c r="A24">
        <v>3253</v>
      </c>
      <c r="B24" t="s">
        <v>44</v>
      </c>
      <c r="C24" t="s">
        <v>19</v>
      </c>
      <c r="D24" s="4">
        <v>45370</v>
      </c>
      <c r="E24" t="s">
        <v>20</v>
      </c>
      <c r="F24" s="5">
        <v>5</v>
      </c>
      <c r="G24" t="s">
        <v>17</v>
      </c>
      <c r="H24" t="s">
        <v>20</v>
      </c>
      <c r="I24" s="5">
        <v>0</v>
      </c>
      <c r="J24" t="s">
        <v>20</v>
      </c>
      <c r="K24" s="5">
        <v>0</v>
      </c>
      <c r="L24" s="5">
        <v>1</v>
      </c>
      <c r="M24" s="5">
        <v>4</v>
      </c>
    </row>
    <row r="25" spans="1:13" ht="19.05" customHeight="1" x14ac:dyDescent="0.3">
      <c r="A25">
        <v>3254</v>
      </c>
      <c r="B25" t="s">
        <v>45</v>
      </c>
      <c r="C25" t="s">
        <v>15</v>
      </c>
      <c r="D25" s="4">
        <v>45371</v>
      </c>
      <c r="E25" t="s">
        <v>16</v>
      </c>
      <c r="F25" s="5">
        <v>15</v>
      </c>
      <c r="G25" t="s">
        <v>21</v>
      </c>
      <c r="H25" t="s">
        <v>16</v>
      </c>
      <c r="I25" s="5">
        <v>30</v>
      </c>
      <c r="J25" t="s">
        <v>16</v>
      </c>
      <c r="K25" s="5">
        <v>20</v>
      </c>
      <c r="L25" s="5">
        <v>20</v>
      </c>
      <c r="M25" s="5">
        <v>45</v>
      </c>
    </row>
    <row r="26" spans="1:13" ht="19.05" customHeight="1" x14ac:dyDescent="0.3">
      <c r="A26">
        <v>3255</v>
      </c>
      <c r="B26" t="s">
        <v>46</v>
      </c>
      <c r="C26" t="s">
        <v>23</v>
      </c>
      <c r="D26" s="4">
        <v>45372</v>
      </c>
      <c r="E26" t="s">
        <v>20</v>
      </c>
      <c r="F26" s="5">
        <v>10</v>
      </c>
      <c r="G26" t="s">
        <v>17</v>
      </c>
      <c r="H26" t="s">
        <v>20</v>
      </c>
      <c r="I26" s="5">
        <v>0</v>
      </c>
      <c r="J26" t="s">
        <v>16</v>
      </c>
      <c r="K26" s="5">
        <v>20</v>
      </c>
      <c r="L26" s="5">
        <v>10</v>
      </c>
      <c r="M26" s="5">
        <v>20</v>
      </c>
    </row>
    <row r="27" spans="1:13" ht="19.05" customHeight="1" x14ac:dyDescent="0.3">
      <c r="A27">
        <v>3256</v>
      </c>
      <c r="B27" t="s">
        <v>47</v>
      </c>
      <c r="C27" t="s">
        <v>19</v>
      </c>
      <c r="D27" s="4">
        <v>45373</v>
      </c>
      <c r="E27" t="s">
        <v>16</v>
      </c>
      <c r="F27" s="5">
        <v>5</v>
      </c>
      <c r="G27" t="s">
        <v>24</v>
      </c>
      <c r="H27" t="s">
        <v>20</v>
      </c>
      <c r="I27" s="5">
        <v>0</v>
      </c>
      <c r="J27" t="s">
        <v>20</v>
      </c>
      <c r="K27" s="5">
        <v>0</v>
      </c>
      <c r="L27" s="5">
        <v>0</v>
      </c>
      <c r="M27" s="5">
        <v>5</v>
      </c>
    </row>
    <row r="28" spans="1:13" ht="19.05" customHeight="1" x14ac:dyDescent="0.3">
      <c r="A28">
        <v>3257</v>
      </c>
      <c r="B28" t="s">
        <v>48</v>
      </c>
      <c r="C28" t="s">
        <v>15</v>
      </c>
      <c r="D28" s="4">
        <v>45374</v>
      </c>
      <c r="E28" t="s">
        <v>20</v>
      </c>
      <c r="F28" s="5">
        <v>15</v>
      </c>
      <c r="G28" t="s">
        <v>17</v>
      </c>
      <c r="H28" t="s">
        <v>16</v>
      </c>
      <c r="I28" s="5">
        <v>30</v>
      </c>
      <c r="J28" t="s">
        <v>16</v>
      </c>
      <c r="K28" s="5">
        <v>20</v>
      </c>
      <c r="L28" s="5">
        <v>5</v>
      </c>
      <c r="M28" s="5">
        <v>60</v>
      </c>
    </row>
    <row r="29" spans="1:13" ht="19.05" customHeight="1" x14ac:dyDescent="0.3">
      <c r="A29">
        <v>3258</v>
      </c>
      <c r="B29" t="s">
        <v>49</v>
      </c>
      <c r="C29" t="s">
        <v>23</v>
      </c>
      <c r="D29" s="4">
        <v>45375</v>
      </c>
      <c r="E29" t="s">
        <v>16</v>
      </c>
      <c r="F29" s="5">
        <v>10</v>
      </c>
      <c r="G29" t="s">
        <v>21</v>
      </c>
      <c r="H29" t="s">
        <v>20</v>
      </c>
      <c r="I29" s="5">
        <v>0</v>
      </c>
      <c r="J29" t="s">
        <v>16</v>
      </c>
      <c r="K29" s="5">
        <v>20</v>
      </c>
      <c r="L29" s="5">
        <v>15</v>
      </c>
      <c r="M29" s="5">
        <v>15</v>
      </c>
    </row>
    <row r="30" spans="1:13" ht="19.05" customHeight="1" x14ac:dyDescent="0.3">
      <c r="A30">
        <v>3259</v>
      </c>
      <c r="B30" t="s">
        <v>50</v>
      </c>
      <c r="C30" t="s">
        <v>19</v>
      </c>
      <c r="D30" s="4">
        <v>45376</v>
      </c>
      <c r="E30" t="s">
        <v>20</v>
      </c>
      <c r="F30" s="5">
        <v>5</v>
      </c>
      <c r="G30" t="s">
        <v>17</v>
      </c>
      <c r="H30" t="s">
        <v>20</v>
      </c>
      <c r="I30" s="5">
        <v>0</v>
      </c>
      <c r="J30" t="s">
        <v>20</v>
      </c>
      <c r="K30" s="5">
        <v>0</v>
      </c>
      <c r="L30" s="5">
        <v>1</v>
      </c>
      <c r="M30" s="5">
        <v>4</v>
      </c>
    </row>
    <row r="31" spans="1:13" ht="19.05" customHeight="1" x14ac:dyDescent="0.3">
      <c r="A31">
        <v>3260</v>
      </c>
      <c r="B31" t="s">
        <v>51</v>
      </c>
      <c r="C31" t="s">
        <v>15</v>
      </c>
      <c r="D31" s="4">
        <v>45377</v>
      </c>
      <c r="E31" t="s">
        <v>16</v>
      </c>
      <c r="F31" s="5">
        <v>15</v>
      </c>
      <c r="G31" t="s">
        <v>24</v>
      </c>
      <c r="H31" t="s">
        <v>16</v>
      </c>
      <c r="I31" s="5">
        <v>30</v>
      </c>
      <c r="J31" t="s">
        <v>16</v>
      </c>
      <c r="K31" s="5">
        <v>20</v>
      </c>
      <c r="L31" s="5">
        <v>7</v>
      </c>
      <c r="M31" s="5">
        <v>58</v>
      </c>
    </row>
    <row r="32" spans="1:13" ht="19.05" customHeight="1" x14ac:dyDescent="0.3">
      <c r="A32">
        <v>3261</v>
      </c>
      <c r="B32" t="s">
        <v>52</v>
      </c>
      <c r="C32" t="s">
        <v>23</v>
      </c>
      <c r="D32" s="4">
        <v>45378</v>
      </c>
      <c r="E32" t="s">
        <v>20</v>
      </c>
      <c r="F32" s="5">
        <v>10</v>
      </c>
      <c r="G32" t="s">
        <v>17</v>
      </c>
      <c r="H32" t="s">
        <v>20</v>
      </c>
      <c r="I32" s="5">
        <v>0</v>
      </c>
      <c r="J32" t="s">
        <v>16</v>
      </c>
      <c r="K32" s="5">
        <v>20</v>
      </c>
      <c r="L32" s="5">
        <v>10</v>
      </c>
      <c r="M32" s="5">
        <v>20</v>
      </c>
    </row>
    <row r="33" spans="1:13" ht="19.05" customHeight="1" x14ac:dyDescent="0.3">
      <c r="A33">
        <v>3262</v>
      </c>
      <c r="B33" t="s">
        <v>53</v>
      </c>
      <c r="C33" t="s">
        <v>19</v>
      </c>
      <c r="D33" s="4">
        <v>45379</v>
      </c>
      <c r="E33" t="s">
        <v>16</v>
      </c>
      <c r="F33" s="5">
        <v>5</v>
      </c>
      <c r="G33" t="s">
        <v>21</v>
      </c>
      <c r="H33" t="s">
        <v>20</v>
      </c>
      <c r="I33" s="5">
        <v>0</v>
      </c>
      <c r="J33" t="s">
        <v>20</v>
      </c>
      <c r="K33" s="5">
        <v>0</v>
      </c>
      <c r="L33" s="5">
        <v>0</v>
      </c>
      <c r="M33" s="5">
        <v>5</v>
      </c>
    </row>
    <row r="34" spans="1:13" ht="19.05" customHeight="1" x14ac:dyDescent="0.3">
      <c r="A34">
        <v>3263</v>
      </c>
      <c r="B34" t="s">
        <v>54</v>
      </c>
      <c r="C34" t="s">
        <v>15</v>
      </c>
      <c r="D34" s="4">
        <v>45380</v>
      </c>
      <c r="E34" t="s">
        <v>20</v>
      </c>
      <c r="F34" s="5">
        <v>15</v>
      </c>
      <c r="G34" t="s">
        <v>17</v>
      </c>
      <c r="H34" t="s">
        <v>16</v>
      </c>
      <c r="I34" s="5">
        <v>30</v>
      </c>
      <c r="J34" t="s">
        <v>16</v>
      </c>
      <c r="K34" s="5">
        <v>20</v>
      </c>
      <c r="L34" s="5">
        <v>3</v>
      </c>
      <c r="M34" s="5">
        <v>62</v>
      </c>
    </row>
    <row r="35" spans="1:13" ht="19.05" customHeight="1" x14ac:dyDescent="0.3">
      <c r="A35">
        <v>3264</v>
      </c>
      <c r="B35" t="s">
        <v>55</v>
      </c>
      <c r="C35" t="s">
        <v>23</v>
      </c>
      <c r="D35" s="4">
        <v>45381</v>
      </c>
      <c r="E35" t="s">
        <v>16</v>
      </c>
      <c r="F35" s="5">
        <v>10</v>
      </c>
      <c r="G35" t="s">
        <v>24</v>
      </c>
      <c r="H35" t="s">
        <v>20</v>
      </c>
      <c r="I35" s="5">
        <v>0</v>
      </c>
      <c r="J35" t="s">
        <v>16</v>
      </c>
      <c r="K35" s="5">
        <v>20</v>
      </c>
      <c r="L35" s="5">
        <v>15</v>
      </c>
      <c r="M35" s="5">
        <v>15</v>
      </c>
    </row>
    <row r="36" spans="1:13" ht="19.05" customHeight="1" x14ac:dyDescent="0.3">
      <c r="A36">
        <v>3265</v>
      </c>
      <c r="B36" t="s">
        <v>56</v>
      </c>
      <c r="C36" t="s">
        <v>19</v>
      </c>
      <c r="D36" s="4">
        <v>45382</v>
      </c>
      <c r="E36" t="s">
        <v>20</v>
      </c>
      <c r="F36" s="5">
        <v>5</v>
      </c>
      <c r="G36" t="s">
        <v>17</v>
      </c>
      <c r="H36" t="s">
        <v>20</v>
      </c>
      <c r="I36" s="5">
        <v>0</v>
      </c>
      <c r="J36" t="s">
        <v>20</v>
      </c>
      <c r="K36" s="5">
        <v>0</v>
      </c>
      <c r="L36" s="5">
        <v>1</v>
      </c>
      <c r="M36" s="5">
        <v>4</v>
      </c>
    </row>
    <row r="37" spans="1:13" ht="19.05" customHeight="1" x14ac:dyDescent="0.3">
      <c r="A37">
        <v>3266</v>
      </c>
      <c r="B37" t="s">
        <v>57</v>
      </c>
      <c r="C37" t="s">
        <v>19</v>
      </c>
      <c r="D37" s="4">
        <v>45383</v>
      </c>
      <c r="E37" t="s">
        <v>16</v>
      </c>
      <c r="F37" s="5">
        <v>5</v>
      </c>
      <c r="G37" t="s">
        <v>17</v>
      </c>
      <c r="H37" t="s">
        <v>20</v>
      </c>
      <c r="I37" s="5">
        <v>0</v>
      </c>
      <c r="J37" t="s">
        <v>20</v>
      </c>
      <c r="K37" s="5">
        <v>0</v>
      </c>
      <c r="L37" s="5">
        <v>0</v>
      </c>
      <c r="M37" s="5">
        <v>5</v>
      </c>
    </row>
    <row r="38" spans="1:13" ht="19.05" customHeight="1" x14ac:dyDescent="0.3">
      <c r="A38">
        <v>3267</v>
      </c>
      <c r="B38" t="s">
        <v>58</v>
      </c>
      <c r="C38" t="s">
        <v>15</v>
      </c>
      <c r="D38" s="4">
        <v>45384</v>
      </c>
      <c r="E38" t="s">
        <v>20</v>
      </c>
      <c r="F38" s="5">
        <v>15</v>
      </c>
      <c r="G38" t="s">
        <v>24</v>
      </c>
      <c r="H38" t="s">
        <v>16</v>
      </c>
      <c r="I38" s="5">
        <v>30</v>
      </c>
      <c r="J38" t="s">
        <v>16</v>
      </c>
      <c r="K38" s="5">
        <v>20</v>
      </c>
      <c r="L38" s="5">
        <v>7</v>
      </c>
      <c r="M38" s="5">
        <v>58</v>
      </c>
    </row>
    <row r="39" spans="1:13" ht="19.05" customHeight="1" x14ac:dyDescent="0.3">
      <c r="A39">
        <v>3268</v>
      </c>
      <c r="B39" t="s">
        <v>59</v>
      </c>
      <c r="C39" t="s">
        <v>23</v>
      </c>
      <c r="D39" s="4">
        <v>45385</v>
      </c>
      <c r="E39" t="s">
        <v>16</v>
      </c>
      <c r="F39" s="5">
        <v>10</v>
      </c>
      <c r="G39" t="s">
        <v>21</v>
      </c>
      <c r="H39" t="s">
        <v>20</v>
      </c>
      <c r="I39" s="5">
        <v>0</v>
      </c>
      <c r="J39" t="s">
        <v>16</v>
      </c>
      <c r="K39" s="5">
        <v>20</v>
      </c>
      <c r="L39" s="5">
        <v>10</v>
      </c>
      <c r="M39" s="5">
        <v>20</v>
      </c>
    </row>
    <row r="40" spans="1:13" ht="19.05" customHeight="1" x14ac:dyDescent="0.3">
      <c r="A40">
        <v>3269</v>
      </c>
      <c r="B40" t="s">
        <v>60</v>
      </c>
      <c r="C40" t="s">
        <v>19</v>
      </c>
      <c r="D40" s="4">
        <v>45386</v>
      </c>
      <c r="E40" t="s">
        <v>20</v>
      </c>
      <c r="F40" s="5">
        <v>5</v>
      </c>
      <c r="G40" t="s">
        <v>24</v>
      </c>
      <c r="H40" t="s">
        <v>20</v>
      </c>
      <c r="I40" s="5">
        <v>0</v>
      </c>
      <c r="J40" t="s">
        <v>20</v>
      </c>
      <c r="K40" s="5">
        <v>0</v>
      </c>
      <c r="L40" s="5">
        <v>1</v>
      </c>
      <c r="M40" s="5">
        <v>4</v>
      </c>
    </row>
    <row r="41" spans="1:13" ht="19.05" customHeight="1" x14ac:dyDescent="0.3">
      <c r="A41">
        <v>3270</v>
      </c>
      <c r="B41" t="s">
        <v>61</v>
      </c>
      <c r="C41" t="s">
        <v>15</v>
      </c>
      <c r="D41" s="4">
        <v>45387</v>
      </c>
      <c r="E41" t="s">
        <v>16</v>
      </c>
      <c r="F41" s="5">
        <v>15</v>
      </c>
      <c r="G41" t="s">
        <v>17</v>
      </c>
      <c r="H41" t="s">
        <v>16</v>
      </c>
      <c r="I41" s="5">
        <v>30</v>
      </c>
      <c r="J41" t="s">
        <v>16</v>
      </c>
      <c r="K41" s="5">
        <v>20</v>
      </c>
      <c r="L41" s="5">
        <v>15</v>
      </c>
      <c r="M41" s="5">
        <v>50</v>
      </c>
    </row>
    <row r="42" spans="1:13" ht="19.05" customHeight="1" x14ac:dyDescent="0.3">
      <c r="A42">
        <v>3271</v>
      </c>
      <c r="B42" t="s">
        <v>62</v>
      </c>
      <c r="C42" t="s">
        <v>23</v>
      </c>
      <c r="D42" s="4">
        <v>45388</v>
      </c>
      <c r="E42" t="s">
        <v>20</v>
      </c>
      <c r="F42" s="5">
        <v>10</v>
      </c>
      <c r="G42" t="s">
        <v>17</v>
      </c>
      <c r="H42" t="s">
        <v>20</v>
      </c>
      <c r="I42" s="5">
        <v>0</v>
      </c>
      <c r="J42" t="s">
        <v>16</v>
      </c>
      <c r="K42" s="5">
        <v>20</v>
      </c>
      <c r="L42" s="5">
        <v>5</v>
      </c>
      <c r="M42" s="5">
        <v>25</v>
      </c>
    </row>
    <row r="43" spans="1:13" ht="19.05" customHeight="1" x14ac:dyDescent="0.3">
      <c r="A43">
        <v>3272</v>
      </c>
      <c r="B43" t="s">
        <v>63</v>
      </c>
      <c r="C43" t="s">
        <v>19</v>
      </c>
      <c r="D43" s="4">
        <v>45389</v>
      </c>
      <c r="E43" t="s">
        <v>16</v>
      </c>
      <c r="F43" s="5">
        <v>5</v>
      </c>
      <c r="G43" t="s">
        <v>21</v>
      </c>
      <c r="H43" t="s">
        <v>20</v>
      </c>
      <c r="I43" s="5">
        <v>0</v>
      </c>
      <c r="J43" t="s">
        <v>20</v>
      </c>
      <c r="K43" s="5">
        <v>0</v>
      </c>
      <c r="L43" s="5">
        <v>0</v>
      </c>
      <c r="M43" s="5">
        <v>5</v>
      </c>
    </row>
    <row r="44" spans="1:13" ht="19.05" customHeight="1" x14ac:dyDescent="0.3">
      <c r="A44">
        <v>3273</v>
      </c>
      <c r="B44" t="s">
        <v>64</v>
      </c>
      <c r="C44" t="s">
        <v>15</v>
      </c>
      <c r="D44" s="4">
        <v>45390</v>
      </c>
      <c r="E44" t="s">
        <v>20</v>
      </c>
      <c r="F44" s="5">
        <v>15</v>
      </c>
      <c r="G44" t="s">
        <v>24</v>
      </c>
      <c r="H44" t="s">
        <v>16</v>
      </c>
      <c r="I44" s="5">
        <v>30</v>
      </c>
      <c r="J44" t="s">
        <v>16</v>
      </c>
      <c r="K44" s="5">
        <v>20</v>
      </c>
      <c r="L44" s="5">
        <v>20</v>
      </c>
      <c r="M44" s="5">
        <v>45</v>
      </c>
    </row>
    <row r="45" spans="1:13" ht="19.05" customHeight="1" x14ac:dyDescent="0.3">
      <c r="A45">
        <v>3274</v>
      </c>
      <c r="B45" t="s">
        <v>65</v>
      </c>
      <c r="C45" t="s">
        <v>23</v>
      </c>
      <c r="D45" s="4">
        <v>45391</v>
      </c>
      <c r="E45" t="s">
        <v>16</v>
      </c>
      <c r="F45" s="5">
        <v>10</v>
      </c>
      <c r="G45" t="s">
        <v>24</v>
      </c>
      <c r="H45" t="s">
        <v>20</v>
      </c>
      <c r="I45" s="5">
        <v>0</v>
      </c>
      <c r="J45" t="s">
        <v>16</v>
      </c>
      <c r="K45" s="5">
        <v>20</v>
      </c>
      <c r="L45" s="5">
        <v>12</v>
      </c>
      <c r="M45" s="5">
        <v>18</v>
      </c>
    </row>
    <row r="46" spans="1:13" ht="19.05" customHeight="1" x14ac:dyDescent="0.3">
      <c r="A46">
        <v>3275</v>
      </c>
      <c r="B46" t="s">
        <v>66</v>
      </c>
      <c r="C46" t="s">
        <v>19</v>
      </c>
      <c r="D46" s="4">
        <v>45392</v>
      </c>
      <c r="E46" t="s">
        <v>20</v>
      </c>
      <c r="F46" s="5">
        <v>5</v>
      </c>
      <c r="G46" t="s">
        <v>17</v>
      </c>
      <c r="H46" t="s">
        <v>20</v>
      </c>
      <c r="I46" s="5">
        <v>0</v>
      </c>
      <c r="J46" t="s">
        <v>20</v>
      </c>
      <c r="K46" s="5">
        <v>0</v>
      </c>
      <c r="L46" s="5">
        <v>2</v>
      </c>
      <c r="M46" s="5">
        <v>3</v>
      </c>
    </row>
    <row r="47" spans="1:13" ht="19.05" customHeight="1" x14ac:dyDescent="0.3">
      <c r="A47">
        <v>3276</v>
      </c>
      <c r="B47" t="s">
        <v>67</v>
      </c>
      <c r="C47" t="s">
        <v>15</v>
      </c>
      <c r="D47" s="4">
        <v>45393</v>
      </c>
      <c r="E47" t="s">
        <v>16</v>
      </c>
      <c r="F47" s="5">
        <v>15</v>
      </c>
      <c r="G47" t="s">
        <v>21</v>
      </c>
      <c r="H47" t="s">
        <v>16</v>
      </c>
      <c r="I47" s="5">
        <v>30</v>
      </c>
      <c r="J47" t="s">
        <v>16</v>
      </c>
      <c r="K47" s="5">
        <v>20</v>
      </c>
      <c r="L47" s="5">
        <v>5</v>
      </c>
      <c r="M47" s="5">
        <v>60</v>
      </c>
    </row>
    <row r="48" spans="1:13" ht="19.05" customHeight="1" x14ac:dyDescent="0.3">
      <c r="A48">
        <v>3277</v>
      </c>
      <c r="B48" t="s">
        <v>68</v>
      </c>
      <c r="C48" t="s">
        <v>23</v>
      </c>
      <c r="D48" s="4">
        <v>45394</v>
      </c>
      <c r="E48" t="s">
        <v>20</v>
      </c>
      <c r="F48" s="5">
        <v>10</v>
      </c>
      <c r="G48" t="s">
        <v>17</v>
      </c>
      <c r="H48" t="s">
        <v>20</v>
      </c>
      <c r="I48" s="5">
        <v>0</v>
      </c>
      <c r="J48" t="s">
        <v>16</v>
      </c>
      <c r="K48" s="5">
        <v>20</v>
      </c>
      <c r="L48" s="5">
        <v>10</v>
      </c>
      <c r="M48" s="5">
        <v>20</v>
      </c>
    </row>
    <row r="49" spans="1:13" ht="19.05" customHeight="1" x14ac:dyDescent="0.3">
      <c r="A49">
        <v>3278</v>
      </c>
      <c r="B49" t="s">
        <v>69</v>
      </c>
      <c r="C49" t="s">
        <v>19</v>
      </c>
      <c r="D49" s="4">
        <v>45395</v>
      </c>
      <c r="E49" t="s">
        <v>16</v>
      </c>
      <c r="F49" s="5">
        <v>5</v>
      </c>
      <c r="G49" t="s">
        <v>24</v>
      </c>
      <c r="H49" t="s">
        <v>20</v>
      </c>
      <c r="I49" s="5">
        <v>0</v>
      </c>
      <c r="J49" t="s">
        <v>20</v>
      </c>
      <c r="K49" s="5">
        <v>0</v>
      </c>
      <c r="L49" s="5">
        <v>0</v>
      </c>
      <c r="M49" s="5">
        <v>5</v>
      </c>
    </row>
    <row r="50" spans="1:13" ht="19.05" customHeight="1" x14ac:dyDescent="0.3">
      <c r="A50">
        <v>3279</v>
      </c>
      <c r="B50" t="s">
        <v>70</v>
      </c>
      <c r="C50" t="s">
        <v>15</v>
      </c>
      <c r="D50" s="4">
        <v>45396</v>
      </c>
      <c r="E50" t="s">
        <v>20</v>
      </c>
      <c r="F50" s="5">
        <v>15</v>
      </c>
      <c r="G50" t="s">
        <v>17</v>
      </c>
      <c r="H50" t="s">
        <v>16</v>
      </c>
      <c r="I50" s="5">
        <v>30</v>
      </c>
      <c r="J50" t="s">
        <v>16</v>
      </c>
      <c r="K50" s="5">
        <v>20</v>
      </c>
      <c r="L50" s="5">
        <v>3</v>
      </c>
      <c r="M50" s="5">
        <v>62</v>
      </c>
    </row>
    <row r="51" spans="1:13" ht="19.05" customHeight="1" x14ac:dyDescent="0.3">
      <c r="A51">
        <v>3280</v>
      </c>
      <c r="B51" t="s">
        <v>71</v>
      </c>
      <c r="C51" t="s">
        <v>23</v>
      </c>
      <c r="D51" s="4">
        <v>45397</v>
      </c>
      <c r="E51" t="s">
        <v>16</v>
      </c>
      <c r="F51" s="5">
        <v>10</v>
      </c>
      <c r="G51" t="s">
        <v>21</v>
      </c>
      <c r="H51" t="s">
        <v>20</v>
      </c>
      <c r="I51" s="5">
        <v>0</v>
      </c>
      <c r="J51" t="s">
        <v>16</v>
      </c>
      <c r="K51" s="5">
        <v>20</v>
      </c>
      <c r="L51" s="5">
        <v>15</v>
      </c>
      <c r="M51" s="5">
        <v>15</v>
      </c>
    </row>
    <row r="52" spans="1:13" ht="19.05" customHeight="1" x14ac:dyDescent="0.3">
      <c r="A52">
        <v>3281</v>
      </c>
      <c r="B52" t="s">
        <v>72</v>
      </c>
      <c r="C52" t="s">
        <v>19</v>
      </c>
      <c r="D52" s="4">
        <v>45398</v>
      </c>
      <c r="E52" t="s">
        <v>20</v>
      </c>
      <c r="F52" s="5">
        <v>5</v>
      </c>
      <c r="G52" t="s">
        <v>17</v>
      </c>
      <c r="H52" t="s">
        <v>20</v>
      </c>
      <c r="I52" s="5">
        <v>0</v>
      </c>
      <c r="J52" t="s">
        <v>20</v>
      </c>
      <c r="K52" s="5">
        <v>0</v>
      </c>
      <c r="L52" s="5">
        <v>1</v>
      </c>
      <c r="M52" s="5">
        <v>4</v>
      </c>
    </row>
    <row r="53" spans="1:13" ht="19.05" customHeight="1" x14ac:dyDescent="0.3">
      <c r="A53">
        <v>3282</v>
      </c>
      <c r="B53" t="s">
        <v>73</v>
      </c>
      <c r="C53" t="s">
        <v>15</v>
      </c>
      <c r="D53" s="4">
        <v>45399</v>
      </c>
      <c r="E53" t="s">
        <v>16</v>
      </c>
      <c r="F53" s="5">
        <v>15</v>
      </c>
      <c r="G53" t="s">
        <v>24</v>
      </c>
      <c r="H53" t="s">
        <v>16</v>
      </c>
      <c r="I53" s="5">
        <v>30</v>
      </c>
      <c r="J53" t="s">
        <v>16</v>
      </c>
      <c r="K53" s="5">
        <v>20</v>
      </c>
      <c r="L53" s="5">
        <v>7</v>
      </c>
      <c r="M53" s="5">
        <v>58</v>
      </c>
    </row>
    <row r="54" spans="1:13" ht="19.05" customHeight="1" x14ac:dyDescent="0.3">
      <c r="A54">
        <v>3283</v>
      </c>
      <c r="B54" t="s">
        <v>74</v>
      </c>
      <c r="C54" t="s">
        <v>23</v>
      </c>
      <c r="D54" s="4">
        <v>45400</v>
      </c>
      <c r="E54" t="s">
        <v>20</v>
      </c>
      <c r="F54" s="5">
        <v>10</v>
      </c>
      <c r="G54" t="s">
        <v>17</v>
      </c>
      <c r="H54" t="s">
        <v>20</v>
      </c>
      <c r="I54" s="5">
        <v>0</v>
      </c>
      <c r="J54" t="s">
        <v>16</v>
      </c>
      <c r="K54" s="5">
        <v>20</v>
      </c>
      <c r="L54" s="5">
        <v>10</v>
      </c>
      <c r="M54" s="5">
        <v>20</v>
      </c>
    </row>
    <row r="55" spans="1:13" ht="19.05" customHeight="1" x14ac:dyDescent="0.3">
      <c r="A55">
        <v>3284</v>
      </c>
      <c r="B55" t="s">
        <v>75</v>
      </c>
      <c r="C55" t="s">
        <v>19</v>
      </c>
      <c r="D55" s="4">
        <v>45401</v>
      </c>
      <c r="E55" t="s">
        <v>16</v>
      </c>
      <c r="F55" s="5">
        <v>5</v>
      </c>
      <c r="G55" t="s">
        <v>21</v>
      </c>
      <c r="H55" t="s">
        <v>20</v>
      </c>
      <c r="I55" s="5">
        <v>0</v>
      </c>
      <c r="J55" t="s">
        <v>20</v>
      </c>
      <c r="K55" s="5">
        <v>0</v>
      </c>
      <c r="L55" s="5">
        <v>0</v>
      </c>
      <c r="M55" s="5">
        <v>5</v>
      </c>
    </row>
    <row r="56" spans="1:13" ht="19.05" customHeight="1" x14ac:dyDescent="0.3">
      <c r="A56">
        <v>3285</v>
      </c>
      <c r="B56" t="s">
        <v>76</v>
      </c>
      <c r="C56" t="s">
        <v>15</v>
      </c>
      <c r="D56" s="4">
        <v>45402</v>
      </c>
      <c r="E56" t="s">
        <v>20</v>
      </c>
      <c r="F56" s="5">
        <v>15</v>
      </c>
      <c r="G56" t="s">
        <v>17</v>
      </c>
      <c r="H56" t="s">
        <v>16</v>
      </c>
      <c r="I56" s="5">
        <v>30</v>
      </c>
      <c r="J56" t="s">
        <v>16</v>
      </c>
      <c r="K56" s="5">
        <v>20</v>
      </c>
      <c r="L56" s="5">
        <v>20</v>
      </c>
      <c r="M56" s="5">
        <v>45</v>
      </c>
    </row>
    <row r="57" spans="1:13" ht="19.05" customHeight="1" x14ac:dyDescent="0.3">
      <c r="A57">
        <v>3286</v>
      </c>
      <c r="B57" t="s">
        <v>77</v>
      </c>
      <c r="C57" t="s">
        <v>23</v>
      </c>
      <c r="D57" s="4">
        <v>45403</v>
      </c>
      <c r="E57" t="s">
        <v>16</v>
      </c>
      <c r="F57" s="5">
        <v>10</v>
      </c>
      <c r="G57" t="s">
        <v>24</v>
      </c>
      <c r="H57" t="s">
        <v>20</v>
      </c>
      <c r="I57" s="5">
        <v>0</v>
      </c>
      <c r="J57" t="s">
        <v>16</v>
      </c>
      <c r="K57" s="5">
        <v>20</v>
      </c>
      <c r="L57" s="5">
        <v>15</v>
      </c>
      <c r="M57" s="5">
        <v>15</v>
      </c>
    </row>
    <row r="58" spans="1:13" ht="19.05" customHeight="1" x14ac:dyDescent="0.3">
      <c r="A58">
        <v>3287</v>
      </c>
      <c r="B58" t="s">
        <v>78</v>
      </c>
      <c r="C58" t="s">
        <v>19</v>
      </c>
      <c r="D58" s="4">
        <v>45404</v>
      </c>
      <c r="E58" t="s">
        <v>20</v>
      </c>
      <c r="F58" s="5">
        <v>5</v>
      </c>
      <c r="G58" t="s">
        <v>17</v>
      </c>
      <c r="H58" t="s">
        <v>20</v>
      </c>
      <c r="I58" s="5">
        <v>0</v>
      </c>
      <c r="J58" t="s">
        <v>20</v>
      </c>
      <c r="K58" s="5">
        <v>0</v>
      </c>
      <c r="L58" s="5">
        <v>1</v>
      </c>
      <c r="M58" s="5">
        <v>4</v>
      </c>
    </row>
    <row r="59" spans="1:13" ht="19.05" customHeight="1" x14ac:dyDescent="0.3">
      <c r="A59">
        <v>3288</v>
      </c>
      <c r="B59" t="s">
        <v>79</v>
      </c>
      <c r="C59" t="s">
        <v>15</v>
      </c>
      <c r="D59" s="4">
        <v>45405</v>
      </c>
      <c r="E59" t="s">
        <v>16</v>
      </c>
      <c r="F59" s="5">
        <v>15</v>
      </c>
      <c r="G59" t="s">
        <v>21</v>
      </c>
      <c r="H59" t="s">
        <v>16</v>
      </c>
      <c r="I59" s="5">
        <v>30</v>
      </c>
      <c r="J59" t="s">
        <v>16</v>
      </c>
      <c r="K59" s="5">
        <v>20</v>
      </c>
      <c r="L59" s="5">
        <v>3</v>
      </c>
      <c r="M59" s="5">
        <v>62</v>
      </c>
    </row>
    <row r="60" spans="1:13" ht="19.05" customHeight="1" x14ac:dyDescent="0.3">
      <c r="A60">
        <v>3289</v>
      </c>
      <c r="B60" t="s">
        <v>80</v>
      </c>
      <c r="C60" t="s">
        <v>23</v>
      </c>
      <c r="D60" s="4">
        <v>45406</v>
      </c>
      <c r="E60" t="s">
        <v>20</v>
      </c>
      <c r="F60" s="5">
        <v>10</v>
      </c>
      <c r="G60" t="s">
        <v>17</v>
      </c>
      <c r="H60" t="s">
        <v>20</v>
      </c>
      <c r="I60" s="5">
        <v>0</v>
      </c>
      <c r="J60" t="s">
        <v>16</v>
      </c>
      <c r="K60" s="5">
        <v>20</v>
      </c>
      <c r="L60" s="5">
        <v>10</v>
      </c>
      <c r="M60" s="5">
        <v>20</v>
      </c>
    </row>
    <row r="61" spans="1:13" ht="19.05" customHeight="1" x14ac:dyDescent="0.3">
      <c r="A61">
        <v>3290</v>
      </c>
      <c r="B61" t="s">
        <v>81</v>
      </c>
      <c r="C61" t="s">
        <v>19</v>
      </c>
      <c r="D61" s="4">
        <v>45407</v>
      </c>
      <c r="E61" t="s">
        <v>16</v>
      </c>
      <c r="F61" s="5">
        <v>5</v>
      </c>
      <c r="G61" t="s">
        <v>24</v>
      </c>
      <c r="H61" t="s">
        <v>20</v>
      </c>
      <c r="I61" s="5">
        <v>0</v>
      </c>
      <c r="J61" t="s">
        <v>20</v>
      </c>
      <c r="K61" s="5">
        <v>0</v>
      </c>
      <c r="L61" s="5">
        <v>0</v>
      </c>
      <c r="M61" s="5">
        <v>5</v>
      </c>
    </row>
    <row r="62" spans="1:13" ht="19.05" customHeight="1" x14ac:dyDescent="0.3">
      <c r="A62">
        <v>3291</v>
      </c>
      <c r="B62" t="s">
        <v>82</v>
      </c>
      <c r="C62" t="s">
        <v>15</v>
      </c>
      <c r="D62" s="4">
        <v>45408</v>
      </c>
      <c r="E62" t="s">
        <v>20</v>
      </c>
      <c r="F62" s="5">
        <v>15</v>
      </c>
      <c r="G62" t="s">
        <v>17</v>
      </c>
      <c r="H62" t="s">
        <v>16</v>
      </c>
      <c r="I62" s="5">
        <v>30</v>
      </c>
      <c r="J62" t="s">
        <v>16</v>
      </c>
      <c r="K62" s="5">
        <v>20</v>
      </c>
      <c r="L62" s="5">
        <v>5</v>
      </c>
      <c r="M62" s="5">
        <v>60</v>
      </c>
    </row>
    <row r="63" spans="1:13" ht="19.05" customHeight="1" x14ac:dyDescent="0.3">
      <c r="A63">
        <v>3292</v>
      </c>
      <c r="B63" t="s">
        <v>83</v>
      </c>
      <c r="C63" t="s">
        <v>23</v>
      </c>
      <c r="D63" s="4">
        <v>45409</v>
      </c>
      <c r="E63" t="s">
        <v>16</v>
      </c>
      <c r="F63" s="5">
        <v>10</v>
      </c>
      <c r="G63" t="s">
        <v>21</v>
      </c>
      <c r="H63" t="s">
        <v>20</v>
      </c>
      <c r="I63" s="5">
        <v>0</v>
      </c>
      <c r="J63" t="s">
        <v>16</v>
      </c>
      <c r="K63" s="5">
        <v>20</v>
      </c>
      <c r="L63" s="5">
        <v>15</v>
      </c>
      <c r="M63" s="5">
        <v>15</v>
      </c>
    </row>
    <row r="64" spans="1:13" ht="19.05" customHeight="1" x14ac:dyDescent="0.3">
      <c r="A64">
        <v>3293</v>
      </c>
      <c r="B64" t="s">
        <v>84</v>
      </c>
      <c r="C64" t="s">
        <v>19</v>
      </c>
      <c r="D64" s="4">
        <v>45410</v>
      </c>
      <c r="E64" t="s">
        <v>20</v>
      </c>
      <c r="F64" s="5">
        <v>5</v>
      </c>
      <c r="G64" t="s">
        <v>17</v>
      </c>
      <c r="H64" t="s">
        <v>20</v>
      </c>
      <c r="I64" s="5">
        <v>0</v>
      </c>
      <c r="J64" t="s">
        <v>20</v>
      </c>
      <c r="K64" s="5">
        <v>0</v>
      </c>
      <c r="L64" s="5">
        <v>1</v>
      </c>
      <c r="M64" s="5">
        <v>4</v>
      </c>
    </row>
    <row r="65" spans="1:13" ht="19.05" customHeight="1" x14ac:dyDescent="0.3">
      <c r="A65">
        <v>3294</v>
      </c>
      <c r="B65" t="s">
        <v>85</v>
      </c>
      <c r="C65" t="s">
        <v>15</v>
      </c>
      <c r="D65" s="4">
        <v>45411</v>
      </c>
      <c r="E65" t="s">
        <v>16</v>
      </c>
      <c r="F65" s="5">
        <v>15</v>
      </c>
      <c r="G65" t="s">
        <v>24</v>
      </c>
      <c r="H65" t="s">
        <v>16</v>
      </c>
      <c r="I65" s="5">
        <v>30</v>
      </c>
      <c r="J65" t="s">
        <v>16</v>
      </c>
      <c r="K65" s="5">
        <v>20</v>
      </c>
      <c r="L65" s="5">
        <v>20</v>
      </c>
      <c r="M65" s="5">
        <v>45</v>
      </c>
    </row>
    <row r="66" spans="1:13" ht="19.05" customHeight="1" x14ac:dyDescent="0.3">
      <c r="A66">
        <v>3295</v>
      </c>
      <c r="B66" t="s">
        <v>86</v>
      </c>
      <c r="C66" t="s">
        <v>23</v>
      </c>
      <c r="D66" s="4">
        <v>45412</v>
      </c>
      <c r="E66" t="s">
        <v>20</v>
      </c>
      <c r="F66" s="5">
        <v>10</v>
      </c>
      <c r="G66" t="s">
        <v>17</v>
      </c>
      <c r="H66" t="s">
        <v>20</v>
      </c>
      <c r="I66" s="5">
        <v>0</v>
      </c>
      <c r="J66" t="s">
        <v>16</v>
      </c>
      <c r="K66" s="5">
        <v>20</v>
      </c>
      <c r="L66" s="5">
        <v>5</v>
      </c>
      <c r="M66" s="5">
        <v>25</v>
      </c>
    </row>
    <row r="67" spans="1:13" ht="19.05" customHeight="1" x14ac:dyDescent="0.3">
      <c r="A67">
        <v>3296</v>
      </c>
      <c r="B67" t="s">
        <v>87</v>
      </c>
      <c r="C67" t="s">
        <v>19</v>
      </c>
      <c r="D67" s="4">
        <v>45413</v>
      </c>
      <c r="E67" t="s">
        <v>20</v>
      </c>
      <c r="F67" s="5">
        <v>5</v>
      </c>
      <c r="G67" t="s">
        <v>17</v>
      </c>
      <c r="H67" t="s">
        <v>20</v>
      </c>
      <c r="I67" s="5">
        <v>0</v>
      </c>
      <c r="J67" t="s">
        <v>20</v>
      </c>
      <c r="K67" s="5">
        <v>0</v>
      </c>
      <c r="L67" s="5">
        <v>0</v>
      </c>
      <c r="M67" s="5">
        <v>5</v>
      </c>
    </row>
    <row r="68" spans="1:13" ht="19.05" customHeight="1" x14ac:dyDescent="0.3">
      <c r="A68">
        <v>3297</v>
      </c>
      <c r="B68" t="s">
        <v>88</v>
      </c>
      <c r="C68" t="s">
        <v>15</v>
      </c>
      <c r="D68" s="4">
        <v>45414</v>
      </c>
      <c r="E68" t="s">
        <v>16</v>
      </c>
      <c r="F68" s="5">
        <v>15</v>
      </c>
      <c r="G68" t="s">
        <v>24</v>
      </c>
      <c r="H68" t="s">
        <v>16</v>
      </c>
      <c r="I68" s="5">
        <v>30</v>
      </c>
      <c r="J68" t="s">
        <v>16</v>
      </c>
      <c r="K68" s="5">
        <v>20</v>
      </c>
      <c r="L68" s="5">
        <v>7</v>
      </c>
      <c r="M68" s="5">
        <v>58</v>
      </c>
    </row>
    <row r="69" spans="1:13" ht="19.05" customHeight="1" x14ac:dyDescent="0.3">
      <c r="A69">
        <v>3298</v>
      </c>
      <c r="B69" t="s">
        <v>89</v>
      </c>
      <c r="C69" t="s">
        <v>23</v>
      </c>
      <c r="D69" s="4">
        <v>45415</v>
      </c>
      <c r="E69" t="s">
        <v>20</v>
      </c>
      <c r="F69" s="5">
        <v>10</v>
      </c>
      <c r="G69" t="s">
        <v>21</v>
      </c>
      <c r="H69" t="s">
        <v>20</v>
      </c>
      <c r="I69" s="5">
        <v>0</v>
      </c>
      <c r="J69" t="s">
        <v>16</v>
      </c>
      <c r="K69" s="5">
        <v>20</v>
      </c>
      <c r="L69" s="5">
        <v>10</v>
      </c>
      <c r="M69" s="5">
        <v>20</v>
      </c>
    </row>
    <row r="70" spans="1:13" ht="19.05" customHeight="1" x14ac:dyDescent="0.3">
      <c r="A70">
        <v>3299</v>
      </c>
      <c r="B70" t="s">
        <v>90</v>
      </c>
      <c r="C70" t="s">
        <v>19</v>
      </c>
      <c r="D70" s="4">
        <v>45416</v>
      </c>
      <c r="E70" t="s">
        <v>16</v>
      </c>
      <c r="F70" s="5">
        <v>5</v>
      </c>
      <c r="G70" t="s">
        <v>24</v>
      </c>
      <c r="H70" t="s">
        <v>20</v>
      </c>
      <c r="I70" s="5">
        <v>0</v>
      </c>
      <c r="J70" t="s">
        <v>20</v>
      </c>
      <c r="K70" s="5">
        <v>0</v>
      </c>
      <c r="L70" s="5">
        <v>1</v>
      </c>
      <c r="M70" s="5">
        <v>4</v>
      </c>
    </row>
    <row r="71" spans="1:13" ht="19.05" customHeight="1" x14ac:dyDescent="0.3">
      <c r="A71">
        <v>3300</v>
      </c>
      <c r="B71" t="s">
        <v>91</v>
      </c>
      <c r="C71" t="s">
        <v>15</v>
      </c>
      <c r="D71" s="4">
        <v>45417</v>
      </c>
      <c r="E71" t="s">
        <v>20</v>
      </c>
      <c r="F71" s="5">
        <v>15</v>
      </c>
      <c r="G71" t="s">
        <v>17</v>
      </c>
      <c r="H71" t="s">
        <v>16</v>
      </c>
      <c r="I71" s="5">
        <v>30</v>
      </c>
      <c r="J71" t="s">
        <v>16</v>
      </c>
      <c r="K71" s="5">
        <v>20</v>
      </c>
      <c r="L71" s="5">
        <v>15</v>
      </c>
      <c r="M71" s="5">
        <v>50</v>
      </c>
    </row>
    <row r="72" spans="1:13" ht="19.05" customHeight="1" x14ac:dyDescent="0.3">
      <c r="A72">
        <v>3301</v>
      </c>
      <c r="B72" t="s">
        <v>92</v>
      </c>
      <c r="C72" t="s">
        <v>23</v>
      </c>
      <c r="D72" s="4">
        <v>45418</v>
      </c>
      <c r="E72" t="s">
        <v>16</v>
      </c>
      <c r="F72" s="5">
        <v>10</v>
      </c>
      <c r="G72" t="s">
        <v>17</v>
      </c>
      <c r="H72" t="s">
        <v>20</v>
      </c>
      <c r="I72" s="5">
        <v>0</v>
      </c>
      <c r="J72" t="s">
        <v>16</v>
      </c>
      <c r="K72" s="5">
        <v>20</v>
      </c>
      <c r="L72" s="5">
        <v>5</v>
      </c>
      <c r="M72" s="5">
        <v>25</v>
      </c>
    </row>
    <row r="73" spans="1:13" ht="19.05" customHeight="1" x14ac:dyDescent="0.3">
      <c r="A73">
        <v>3302</v>
      </c>
      <c r="B73" t="s">
        <v>93</v>
      </c>
      <c r="C73" t="s">
        <v>19</v>
      </c>
      <c r="D73" s="4">
        <v>45419</v>
      </c>
      <c r="E73" t="s">
        <v>20</v>
      </c>
      <c r="F73" s="5">
        <v>5</v>
      </c>
      <c r="G73" t="s">
        <v>21</v>
      </c>
      <c r="H73" t="s">
        <v>20</v>
      </c>
      <c r="I73" s="5">
        <v>0</v>
      </c>
      <c r="J73" t="s">
        <v>20</v>
      </c>
      <c r="K73" s="5">
        <v>0</v>
      </c>
      <c r="L73" s="5">
        <v>0</v>
      </c>
      <c r="M73" s="5">
        <v>5</v>
      </c>
    </row>
    <row r="74" spans="1:13" ht="19.05" customHeight="1" x14ac:dyDescent="0.3">
      <c r="A74">
        <v>3303</v>
      </c>
      <c r="B74" t="s">
        <v>94</v>
      </c>
      <c r="C74" t="s">
        <v>15</v>
      </c>
      <c r="D74" s="4">
        <v>45420</v>
      </c>
      <c r="E74" t="s">
        <v>16</v>
      </c>
      <c r="F74" s="5">
        <v>15</v>
      </c>
      <c r="G74" t="s">
        <v>24</v>
      </c>
      <c r="H74" t="s">
        <v>16</v>
      </c>
      <c r="I74" s="5">
        <v>30</v>
      </c>
      <c r="J74" t="s">
        <v>16</v>
      </c>
      <c r="K74" s="5">
        <v>20</v>
      </c>
      <c r="L74" s="5">
        <v>20</v>
      </c>
      <c r="M74" s="5">
        <v>45</v>
      </c>
    </row>
    <row r="75" spans="1:13" ht="19.05" customHeight="1" x14ac:dyDescent="0.3">
      <c r="A75">
        <v>3304</v>
      </c>
      <c r="B75" t="s">
        <v>95</v>
      </c>
      <c r="C75" t="s">
        <v>23</v>
      </c>
      <c r="D75" s="4">
        <v>45421</v>
      </c>
      <c r="E75" t="s">
        <v>20</v>
      </c>
      <c r="F75" s="5">
        <v>10</v>
      </c>
      <c r="G75" t="s">
        <v>24</v>
      </c>
      <c r="H75" t="s">
        <v>20</v>
      </c>
      <c r="I75" s="5">
        <v>0</v>
      </c>
      <c r="J75" t="s">
        <v>16</v>
      </c>
      <c r="K75" s="5">
        <v>20</v>
      </c>
      <c r="L75" s="5">
        <v>12</v>
      </c>
      <c r="M75" s="5">
        <v>18</v>
      </c>
    </row>
    <row r="76" spans="1:13" ht="19.05" customHeight="1" x14ac:dyDescent="0.3">
      <c r="A76">
        <v>3305</v>
      </c>
      <c r="B76" t="s">
        <v>96</v>
      </c>
      <c r="C76" t="s">
        <v>19</v>
      </c>
      <c r="D76" s="4">
        <v>45422</v>
      </c>
      <c r="E76" t="s">
        <v>16</v>
      </c>
      <c r="F76" s="5">
        <v>5</v>
      </c>
      <c r="G76" t="s">
        <v>17</v>
      </c>
      <c r="H76" t="s">
        <v>20</v>
      </c>
      <c r="I76" s="5">
        <v>0</v>
      </c>
      <c r="J76" t="s">
        <v>20</v>
      </c>
      <c r="K76" s="5">
        <v>0</v>
      </c>
      <c r="L76" s="5">
        <v>2</v>
      </c>
      <c r="M76" s="5">
        <v>3</v>
      </c>
    </row>
    <row r="77" spans="1:13" ht="19.05" customHeight="1" x14ac:dyDescent="0.3">
      <c r="A77">
        <v>3306</v>
      </c>
      <c r="B77" t="s">
        <v>97</v>
      </c>
      <c r="C77" t="s">
        <v>15</v>
      </c>
      <c r="D77" s="4">
        <v>45423</v>
      </c>
      <c r="E77" t="s">
        <v>20</v>
      </c>
      <c r="F77" s="5">
        <v>15</v>
      </c>
      <c r="G77" t="s">
        <v>21</v>
      </c>
      <c r="H77" t="s">
        <v>16</v>
      </c>
      <c r="I77" s="5">
        <v>30</v>
      </c>
      <c r="J77" t="s">
        <v>16</v>
      </c>
      <c r="K77" s="5">
        <v>20</v>
      </c>
      <c r="L77" s="5">
        <v>5</v>
      </c>
      <c r="M77" s="5">
        <v>60</v>
      </c>
    </row>
    <row r="78" spans="1:13" ht="19.05" customHeight="1" x14ac:dyDescent="0.3">
      <c r="A78">
        <v>3307</v>
      </c>
      <c r="B78" t="s">
        <v>98</v>
      </c>
      <c r="C78" t="s">
        <v>23</v>
      </c>
      <c r="D78" s="4">
        <v>45424</v>
      </c>
      <c r="E78" t="s">
        <v>16</v>
      </c>
      <c r="F78" s="5">
        <v>10</v>
      </c>
      <c r="G78" t="s">
        <v>17</v>
      </c>
      <c r="H78" t="s">
        <v>20</v>
      </c>
      <c r="I78" s="5">
        <v>0</v>
      </c>
      <c r="J78" t="s">
        <v>16</v>
      </c>
      <c r="K78" s="5">
        <v>20</v>
      </c>
      <c r="L78" s="5">
        <v>10</v>
      </c>
      <c r="M78" s="5">
        <v>20</v>
      </c>
    </row>
    <row r="79" spans="1:13" ht="19.05" customHeight="1" x14ac:dyDescent="0.3">
      <c r="A79">
        <v>3308</v>
      </c>
      <c r="B79" t="s">
        <v>99</v>
      </c>
      <c r="C79" t="s">
        <v>19</v>
      </c>
      <c r="D79" s="4">
        <v>45425</v>
      </c>
      <c r="E79" t="s">
        <v>20</v>
      </c>
      <c r="F79" s="5">
        <v>5</v>
      </c>
      <c r="G79" t="s">
        <v>24</v>
      </c>
      <c r="H79" t="s">
        <v>20</v>
      </c>
      <c r="I79" s="5">
        <v>0</v>
      </c>
      <c r="J79" t="s">
        <v>20</v>
      </c>
      <c r="K79" s="5">
        <v>0</v>
      </c>
      <c r="L79" s="5">
        <v>0</v>
      </c>
      <c r="M79" s="5">
        <v>5</v>
      </c>
    </row>
    <row r="80" spans="1:13" ht="19.05" customHeight="1" x14ac:dyDescent="0.3">
      <c r="A80">
        <v>3309</v>
      </c>
      <c r="B80" t="s">
        <v>100</v>
      </c>
      <c r="C80" t="s">
        <v>15</v>
      </c>
      <c r="D80" s="4">
        <v>45426</v>
      </c>
      <c r="E80" t="s">
        <v>16</v>
      </c>
      <c r="F80" s="5">
        <v>15</v>
      </c>
      <c r="G80" t="s">
        <v>17</v>
      </c>
      <c r="H80" t="s">
        <v>16</v>
      </c>
      <c r="I80" s="5">
        <v>30</v>
      </c>
      <c r="J80" t="s">
        <v>16</v>
      </c>
      <c r="K80" s="5">
        <v>20</v>
      </c>
      <c r="L80" s="5">
        <v>3</v>
      </c>
      <c r="M80" s="5">
        <v>62</v>
      </c>
    </row>
    <row r="81" spans="1:13" ht="19.05" customHeight="1" x14ac:dyDescent="0.3">
      <c r="A81">
        <v>3310</v>
      </c>
      <c r="B81" t="s">
        <v>101</v>
      </c>
      <c r="C81" t="s">
        <v>23</v>
      </c>
      <c r="D81" s="4">
        <v>45427</v>
      </c>
      <c r="E81" t="s">
        <v>20</v>
      </c>
      <c r="F81" s="5">
        <v>10</v>
      </c>
      <c r="G81" t="s">
        <v>21</v>
      </c>
      <c r="H81" t="s">
        <v>20</v>
      </c>
      <c r="I81" s="5">
        <v>0</v>
      </c>
      <c r="J81" t="s">
        <v>16</v>
      </c>
      <c r="K81" s="5">
        <v>20</v>
      </c>
      <c r="L81" s="5">
        <v>15</v>
      </c>
      <c r="M81" s="5">
        <v>15</v>
      </c>
    </row>
    <row r="82" spans="1:13" ht="19.05" customHeight="1" x14ac:dyDescent="0.3">
      <c r="A82">
        <v>3311</v>
      </c>
      <c r="B82" t="s">
        <v>102</v>
      </c>
      <c r="C82" t="s">
        <v>19</v>
      </c>
      <c r="D82" s="4">
        <v>45428</v>
      </c>
      <c r="E82" t="s">
        <v>16</v>
      </c>
      <c r="F82" s="5">
        <v>5</v>
      </c>
      <c r="G82" t="s">
        <v>17</v>
      </c>
      <c r="H82" t="s">
        <v>20</v>
      </c>
      <c r="I82" s="5">
        <v>0</v>
      </c>
      <c r="J82" t="s">
        <v>20</v>
      </c>
      <c r="K82" s="5">
        <v>0</v>
      </c>
      <c r="L82" s="5">
        <v>1</v>
      </c>
      <c r="M82" s="5">
        <v>4</v>
      </c>
    </row>
    <row r="83" spans="1:13" ht="19.05" customHeight="1" x14ac:dyDescent="0.3">
      <c r="A83">
        <v>3312</v>
      </c>
      <c r="B83" t="s">
        <v>103</v>
      </c>
      <c r="C83" t="s">
        <v>15</v>
      </c>
      <c r="D83" s="4">
        <v>45429</v>
      </c>
      <c r="E83" t="s">
        <v>20</v>
      </c>
      <c r="F83" s="5">
        <v>15</v>
      </c>
      <c r="G83" t="s">
        <v>24</v>
      </c>
      <c r="H83" t="s">
        <v>16</v>
      </c>
      <c r="I83" s="5">
        <v>30</v>
      </c>
      <c r="J83" t="s">
        <v>16</v>
      </c>
      <c r="K83" s="5">
        <v>20</v>
      </c>
      <c r="L83" s="5">
        <v>7</v>
      </c>
      <c r="M83" s="5">
        <v>58</v>
      </c>
    </row>
    <row r="84" spans="1:13" ht="19.05" customHeight="1" x14ac:dyDescent="0.3">
      <c r="A84">
        <v>3313</v>
      </c>
      <c r="B84" t="s">
        <v>104</v>
      </c>
      <c r="C84" t="s">
        <v>23</v>
      </c>
      <c r="D84" s="4">
        <v>45430</v>
      </c>
      <c r="E84" t="s">
        <v>16</v>
      </c>
      <c r="F84" s="5">
        <v>10</v>
      </c>
      <c r="G84" t="s">
        <v>17</v>
      </c>
      <c r="H84" t="s">
        <v>20</v>
      </c>
      <c r="I84" s="5">
        <v>0</v>
      </c>
      <c r="J84" t="s">
        <v>16</v>
      </c>
      <c r="K84" s="5">
        <v>20</v>
      </c>
      <c r="L84" s="5">
        <v>10</v>
      </c>
      <c r="M84" s="5">
        <v>20</v>
      </c>
    </row>
    <row r="85" spans="1:13" ht="19.05" customHeight="1" x14ac:dyDescent="0.3">
      <c r="A85">
        <v>3314</v>
      </c>
      <c r="B85" t="s">
        <v>105</v>
      </c>
      <c r="C85" t="s">
        <v>19</v>
      </c>
      <c r="D85" s="4">
        <v>45431</v>
      </c>
      <c r="E85" t="s">
        <v>20</v>
      </c>
      <c r="F85" s="5">
        <v>5</v>
      </c>
      <c r="G85" t="s">
        <v>21</v>
      </c>
      <c r="H85" t="s">
        <v>20</v>
      </c>
      <c r="I85" s="5">
        <v>0</v>
      </c>
      <c r="J85" t="s">
        <v>20</v>
      </c>
      <c r="K85" s="5">
        <v>0</v>
      </c>
      <c r="L85" s="5">
        <v>0</v>
      </c>
      <c r="M85" s="5">
        <v>5</v>
      </c>
    </row>
    <row r="86" spans="1:13" ht="19.05" customHeight="1" x14ac:dyDescent="0.3">
      <c r="A86">
        <v>3315</v>
      </c>
      <c r="B86" t="s">
        <v>106</v>
      </c>
      <c r="C86" t="s">
        <v>15</v>
      </c>
      <c r="D86" s="4">
        <v>45432</v>
      </c>
      <c r="E86" t="s">
        <v>16</v>
      </c>
      <c r="F86" s="5">
        <v>15</v>
      </c>
      <c r="G86" t="s">
        <v>17</v>
      </c>
      <c r="H86" t="s">
        <v>16</v>
      </c>
      <c r="I86" s="5">
        <v>30</v>
      </c>
      <c r="J86" t="s">
        <v>16</v>
      </c>
      <c r="K86" s="5">
        <v>20</v>
      </c>
      <c r="L86" s="5">
        <v>20</v>
      </c>
      <c r="M86" s="5">
        <v>45</v>
      </c>
    </row>
    <row r="87" spans="1:13" ht="19.05" customHeight="1" x14ac:dyDescent="0.3">
      <c r="A87">
        <v>3316</v>
      </c>
      <c r="B87" t="s">
        <v>107</v>
      </c>
      <c r="C87" t="s">
        <v>23</v>
      </c>
      <c r="D87" s="4">
        <v>45433</v>
      </c>
      <c r="E87" t="s">
        <v>20</v>
      </c>
      <c r="F87" s="5">
        <v>10</v>
      </c>
      <c r="G87" t="s">
        <v>24</v>
      </c>
      <c r="H87" t="s">
        <v>20</v>
      </c>
      <c r="I87" s="5">
        <v>0</v>
      </c>
      <c r="J87" t="s">
        <v>16</v>
      </c>
      <c r="K87" s="5">
        <v>20</v>
      </c>
      <c r="L87" s="5">
        <v>15</v>
      </c>
      <c r="M87" s="5">
        <v>15</v>
      </c>
    </row>
    <row r="88" spans="1:13" ht="19.05" customHeight="1" x14ac:dyDescent="0.3">
      <c r="A88">
        <v>3317</v>
      </c>
      <c r="B88" t="s">
        <v>108</v>
      </c>
      <c r="C88" t="s">
        <v>19</v>
      </c>
      <c r="D88" s="4">
        <v>45434</v>
      </c>
      <c r="E88" t="s">
        <v>16</v>
      </c>
      <c r="F88" s="5">
        <v>5</v>
      </c>
      <c r="G88" t="s">
        <v>17</v>
      </c>
      <c r="H88" t="s">
        <v>20</v>
      </c>
      <c r="I88" s="5">
        <v>0</v>
      </c>
      <c r="J88" t="s">
        <v>20</v>
      </c>
      <c r="K88" s="5">
        <v>0</v>
      </c>
      <c r="L88" s="5">
        <v>1</v>
      </c>
      <c r="M88" s="5">
        <v>4</v>
      </c>
    </row>
    <row r="89" spans="1:13" ht="19.05" customHeight="1" x14ac:dyDescent="0.3">
      <c r="A89">
        <v>3318</v>
      </c>
      <c r="B89" t="s">
        <v>109</v>
      </c>
      <c r="C89" t="s">
        <v>15</v>
      </c>
      <c r="D89" s="4">
        <v>45435</v>
      </c>
      <c r="E89" t="s">
        <v>20</v>
      </c>
      <c r="F89" s="5">
        <v>15</v>
      </c>
      <c r="G89" t="s">
        <v>21</v>
      </c>
      <c r="H89" t="s">
        <v>16</v>
      </c>
      <c r="I89" s="5">
        <v>30</v>
      </c>
      <c r="J89" t="s">
        <v>16</v>
      </c>
      <c r="K89" s="5">
        <v>20</v>
      </c>
      <c r="L89" s="5">
        <v>3</v>
      </c>
      <c r="M89" s="5">
        <v>62</v>
      </c>
    </row>
    <row r="90" spans="1:13" ht="19.05" customHeight="1" x14ac:dyDescent="0.3">
      <c r="A90">
        <v>3319</v>
      </c>
      <c r="B90" t="s">
        <v>110</v>
      </c>
      <c r="C90" t="s">
        <v>23</v>
      </c>
      <c r="D90" s="4">
        <v>45436</v>
      </c>
      <c r="E90" t="s">
        <v>16</v>
      </c>
      <c r="F90" s="5">
        <v>10</v>
      </c>
      <c r="G90" t="s">
        <v>17</v>
      </c>
      <c r="H90" t="s">
        <v>20</v>
      </c>
      <c r="I90" s="5">
        <v>0</v>
      </c>
      <c r="J90" t="s">
        <v>16</v>
      </c>
      <c r="K90" s="5">
        <v>20</v>
      </c>
      <c r="L90" s="5">
        <v>10</v>
      </c>
      <c r="M90" s="5">
        <v>20</v>
      </c>
    </row>
    <row r="91" spans="1:13" ht="19.05" customHeight="1" x14ac:dyDescent="0.3">
      <c r="A91">
        <v>3320</v>
      </c>
      <c r="B91" t="s">
        <v>111</v>
      </c>
      <c r="C91" t="s">
        <v>19</v>
      </c>
      <c r="D91" s="4">
        <v>45437</v>
      </c>
      <c r="E91" t="s">
        <v>20</v>
      </c>
      <c r="F91" s="5">
        <v>5</v>
      </c>
      <c r="G91" t="s">
        <v>24</v>
      </c>
      <c r="H91" t="s">
        <v>20</v>
      </c>
      <c r="I91" s="5">
        <v>0</v>
      </c>
      <c r="J91" t="s">
        <v>20</v>
      </c>
      <c r="K91" s="5">
        <v>0</v>
      </c>
      <c r="L91" s="5">
        <v>0</v>
      </c>
      <c r="M91" s="5">
        <v>5</v>
      </c>
    </row>
    <row r="92" spans="1:13" ht="19.05" customHeight="1" x14ac:dyDescent="0.3">
      <c r="A92">
        <v>3321</v>
      </c>
      <c r="B92" t="s">
        <v>112</v>
      </c>
      <c r="C92" t="s">
        <v>15</v>
      </c>
      <c r="D92" s="4">
        <v>45438</v>
      </c>
      <c r="E92" t="s">
        <v>16</v>
      </c>
      <c r="F92" s="5">
        <v>15</v>
      </c>
      <c r="G92" t="s">
        <v>17</v>
      </c>
      <c r="H92" t="s">
        <v>16</v>
      </c>
      <c r="I92" s="5">
        <v>30</v>
      </c>
      <c r="J92" t="s">
        <v>16</v>
      </c>
      <c r="K92" s="5">
        <v>20</v>
      </c>
      <c r="L92" s="5">
        <v>5</v>
      </c>
      <c r="M92" s="5">
        <v>60</v>
      </c>
    </row>
    <row r="93" spans="1:13" ht="19.05" customHeight="1" x14ac:dyDescent="0.3">
      <c r="A93">
        <v>3322</v>
      </c>
      <c r="B93" t="s">
        <v>113</v>
      </c>
      <c r="C93" t="s">
        <v>23</v>
      </c>
      <c r="D93" s="4">
        <v>45439</v>
      </c>
      <c r="E93" t="s">
        <v>20</v>
      </c>
      <c r="F93" s="5">
        <v>10</v>
      </c>
      <c r="G93" t="s">
        <v>21</v>
      </c>
      <c r="H93" t="s">
        <v>20</v>
      </c>
      <c r="I93" s="5">
        <v>0</v>
      </c>
      <c r="J93" t="s">
        <v>16</v>
      </c>
      <c r="K93" s="5">
        <v>20</v>
      </c>
      <c r="L93" s="5">
        <v>15</v>
      </c>
      <c r="M93" s="5">
        <v>15</v>
      </c>
    </row>
    <row r="94" spans="1:13" ht="19.05" customHeight="1" x14ac:dyDescent="0.3">
      <c r="A94">
        <v>3323</v>
      </c>
      <c r="B94" t="s">
        <v>114</v>
      </c>
      <c r="C94" t="s">
        <v>19</v>
      </c>
      <c r="D94" s="4">
        <v>45440</v>
      </c>
      <c r="E94" t="s">
        <v>16</v>
      </c>
      <c r="F94" s="5">
        <v>5</v>
      </c>
      <c r="G94" t="s">
        <v>17</v>
      </c>
      <c r="H94" t="s">
        <v>20</v>
      </c>
      <c r="I94" s="5">
        <v>0</v>
      </c>
      <c r="J94" t="s">
        <v>20</v>
      </c>
      <c r="K94" s="5">
        <v>0</v>
      </c>
      <c r="L94" s="5">
        <v>1</v>
      </c>
      <c r="M94" s="5">
        <v>4</v>
      </c>
    </row>
    <row r="95" spans="1:13" ht="19.05" customHeight="1" x14ac:dyDescent="0.3">
      <c r="A95">
        <v>3324</v>
      </c>
      <c r="B95" t="s">
        <v>115</v>
      </c>
      <c r="C95" t="s">
        <v>15</v>
      </c>
      <c r="D95" s="4">
        <v>45441</v>
      </c>
      <c r="E95" t="s">
        <v>20</v>
      </c>
      <c r="F95" s="5">
        <v>15</v>
      </c>
      <c r="G95" t="s">
        <v>24</v>
      </c>
      <c r="H95" t="s">
        <v>16</v>
      </c>
      <c r="I95" s="5">
        <v>30</v>
      </c>
      <c r="J95" t="s">
        <v>16</v>
      </c>
      <c r="K95" s="5">
        <v>20</v>
      </c>
      <c r="L95" s="5">
        <v>20</v>
      </c>
      <c r="M95" s="5">
        <v>45</v>
      </c>
    </row>
    <row r="96" spans="1:13" ht="19.05" customHeight="1" x14ac:dyDescent="0.3">
      <c r="A96">
        <v>3325</v>
      </c>
      <c r="B96" t="s">
        <v>116</v>
      </c>
      <c r="C96" t="s">
        <v>23</v>
      </c>
      <c r="D96" s="4">
        <v>45442</v>
      </c>
      <c r="E96" t="s">
        <v>16</v>
      </c>
      <c r="F96" s="5">
        <v>10</v>
      </c>
      <c r="G96" t="s">
        <v>24</v>
      </c>
      <c r="H96" t="s">
        <v>20</v>
      </c>
      <c r="I96" s="5">
        <v>0</v>
      </c>
      <c r="J96" t="s">
        <v>16</v>
      </c>
      <c r="K96" s="5">
        <v>20</v>
      </c>
      <c r="L96" s="5">
        <v>15</v>
      </c>
      <c r="M96" s="5">
        <v>15</v>
      </c>
    </row>
    <row r="97" spans="1:13" ht="19.05" customHeight="1" x14ac:dyDescent="0.3">
      <c r="A97">
        <v>3326</v>
      </c>
      <c r="B97" t="s">
        <v>117</v>
      </c>
      <c r="C97" t="s">
        <v>19</v>
      </c>
      <c r="D97" s="4">
        <v>45443</v>
      </c>
      <c r="E97" t="s">
        <v>20</v>
      </c>
      <c r="F97" s="5">
        <v>5</v>
      </c>
      <c r="G97" t="s">
        <v>21</v>
      </c>
      <c r="H97" t="s">
        <v>20</v>
      </c>
      <c r="I97" s="5">
        <v>0</v>
      </c>
      <c r="J97" t="s">
        <v>20</v>
      </c>
      <c r="K97" s="5">
        <v>0</v>
      </c>
      <c r="L97" s="5">
        <v>0</v>
      </c>
      <c r="M97" s="5">
        <v>5</v>
      </c>
    </row>
    <row r="98" spans="1:13" ht="19.05" customHeight="1" x14ac:dyDescent="0.3">
      <c r="A98">
        <v>3327</v>
      </c>
      <c r="B98" t="s">
        <v>118</v>
      </c>
      <c r="C98" t="s">
        <v>15</v>
      </c>
      <c r="D98" s="4">
        <v>45444</v>
      </c>
      <c r="E98" t="s">
        <v>16</v>
      </c>
      <c r="F98" s="5">
        <v>15</v>
      </c>
      <c r="G98" t="s">
        <v>17</v>
      </c>
      <c r="H98" t="s">
        <v>16</v>
      </c>
      <c r="I98" s="5">
        <v>30</v>
      </c>
      <c r="J98" t="s">
        <v>16</v>
      </c>
      <c r="K98" s="5">
        <v>20</v>
      </c>
      <c r="L98" s="5">
        <v>7</v>
      </c>
      <c r="M98" s="5">
        <v>58</v>
      </c>
    </row>
    <row r="99" spans="1:13" ht="19.05" customHeight="1" x14ac:dyDescent="0.3">
      <c r="A99">
        <v>3328</v>
      </c>
      <c r="B99" t="s">
        <v>119</v>
      </c>
      <c r="C99" t="s">
        <v>23</v>
      </c>
      <c r="D99" s="4">
        <v>45445</v>
      </c>
      <c r="E99" t="s">
        <v>20</v>
      </c>
      <c r="F99" s="5">
        <v>10</v>
      </c>
      <c r="G99" t="s">
        <v>21</v>
      </c>
      <c r="H99" t="s">
        <v>20</v>
      </c>
      <c r="I99" s="5">
        <v>0</v>
      </c>
      <c r="J99" t="s">
        <v>16</v>
      </c>
      <c r="K99" s="5">
        <v>20</v>
      </c>
      <c r="L99" s="5">
        <v>10</v>
      </c>
      <c r="M99" s="5">
        <v>20</v>
      </c>
    </row>
    <row r="100" spans="1:13" ht="19.05" customHeight="1" x14ac:dyDescent="0.3">
      <c r="A100">
        <v>3329</v>
      </c>
      <c r="B100" t="s">
        <v>120</v>
      </c>
      <c r="C100" t="s">
        <v>19</v>
      </c>
      <c r="D100" s="4">
        <v>45446</v>
      </c>
      <c r="E100" t="s">
        <v>16</v>
      </c>
      <c r="F100" s="5">
        <v>5</v>
      </c>
      <c r="G100" t="s">
        <v>24</v>
      </c>
      <c r="H100" t="s">
        <v>20</v>
      </c>
      <c r="I100" s="5">
        <v>0</v>
      </c>
      <c r="J100" t="s">
        <v>20</v>
      </c>
      <c r="K100" s="5">
        <v>0</v>
      </c>
      <c r="L100" s="5">
        <v>1</v>
      </c>
      <c r="M100" s="5">
        <v>4</v>
      </c>
    </row>
    <row r="101" spans="1:13" ht="19.05" customHeight="1" x14ac:dyDescent="0.3">
      <c r="A101">
        <v>3330</v>
      </c>
      <c r="B101" t="s">
        <v>121</v>
      </c>
      <c r="C101" t="s">
        <v>15</v>
      </c>
      <c r="D101" s="4">
        <v>45447</v>
      </c>
      <c r="E101" t="s">
        <v>20</v>
      </c>
      <c r="F101" s="5">
        <v>15</v>
      </c>
      <c r="G101" t="s">
        <v>17</v>
      </c>
      <c r="H101" t="s">
        <v>16</v>
      </c>
      <c r="I101" s="5">
        <v>30</v>
      </c>
      <c r="J101" t="s">
        <v>16</v>
      </c>
      <c r="K101" s="5">
        <v>20</v>
      </c>
      <c r="L101" s="5">
        <v>15</v>
      </c>
      <c r="M101" s="5">
        <v>50</v>
      </c>
    </row>
    <row r="102" spans="1:13" ht="19.05" customHeight="1" x14ac:dyDescent="0.3">
      <c r="A102">
        <v>3331</v>
      </c>
      <c r="B102" t="s">
        <v>122</v>
      </c>
      <c r="C102" t="s">
        <v>23</v>
      </c>
      <c r="D102" s="4">
        <v>45448</v>
      </c>
      <c r="E102" t="s">
        <v>16</v>
      </c>
      <c r="F102" s="5">
        <v>10</v>
      </c>
      <c r="G102" t="s">
        <v>17</v>
      </c>
      <c r="H102" t="s">
        <v>20</v>
      </c>
      <c r="I102" s="5">
        <v>0</v>
      </c>
      <c r="J102" t="s">
        <v>16</v>
      </c>
      <c r="K102" s="5">
        <v>20</v>
      </c>
      <c r="L102" s="5">
        <v>5</v>
      </c>
      <c r="M102" s="5">
        <v>25</v>
      </c>
    </row>
    <row r="103" spans="1:13" ht="19.05" customHeight="1" x14ac:dyDescent="0.3">
      <c r="A103">
        <v>3332</v>
      </c>
      <c r="B103" t="s">
        <v>123</v>
      </c>
      <c r="C103" t="s">
        <v>19</v>
      </c>
      <c r="D103" s="4">
        <v>45449</v>
      </c>
      <c r="E103" t="s">
        <v>20</v>
      </c>
      <c r="F103" s="5">
        <v>5</v>
      </c>
      <c r="G103" t="s">
        <v>21</v>
      </c>
      <c r="H103" t="s">
        <v>20</v>
      </c>
      <c r="I103" s="5">
        <v>0</v>
      </c>
      <c r="J103" t="s">
        <v>20</v>
      </c>
      <c r="K103" s="5">
        <v>0</v>
      </c>
      <c r="L103" s="5">
        <v>0</v>
      </c>
      <c r="M103" s="5">
        <v>5</v>
      </c>
    </row>
    <row r="104" spans="1:13" ht="19.05" customHeight="1" x14ac:dyDescent="0.3">
      <c r="A104">
        <v>3333</v>
      </c>
      <c r="B104" t="s">
        <v>124</v>
      </c>
      <c r="C104" t="s">
        <v>15</v>
      </c>
      <c r="D104" s="4">
        <v>45450</v>
      </c>
      <c r="E104" t="s">
        <v>16</v>
      </c>
      <c r="F104" s="5">
        <v>15</v>
      </c>
      <c r="G104" t="s">
        <v>24</v>
      </c>
      <c r="H104" t="s">
        <v>16</v>
      </c>
      <c r="I104" s="5">
        <v>30</v>
      </c>
      <c r="J104" t="s">
        <v>16</v>
      </c>
      <c r="K104" s="5">
        <v>20</v>
      </c>
      <c r="L104" s="5">
        <v>20</v>
      </c>
      <c r="M104" s="5">
        <v>45</v>
      </c>
    </row>
    <row r="105" spans="1:13" ht="19.05" customHeight="1" x14ac:dyDescent="0.3">
      <c r="A105">
        <v>3334</v>
      </c>
      <c r="B105" t="s">
        <v>125</v>
      </c>
      <c r="C105" t="s">
        <v>23</v>
      </c>
      <c r="D105" s="4">
        <v>45451</v>
      </c>
      <c r="E105" t="s">
        <v>20</v>
      </c>
      <c r="F105" s="5">
        <v>10</v>
      </c>
      <c r="G105" t="s">
        <v>24</v>
      </c>
      <c r="H105" t="s">
        <v>20</v>
      </c>
      <c r="I105" s="5">
        <v>0</v>
      </c>
      <c r="J105" t="s">
        <v>16</v>
      </c>
      <c r="K105" s="5">
        <v>20</v>
      </c>
      <c r="L105" s="5">
        <v>12</v>
      </c>
      <c r="M105" s="5">
        <v>18</v>
      </c>
    </row>
    <row r="106" spans="1:13" ht="19.05" customHeight="1" x14ac:dyDescent="0.3">
      <c r="A106">
        <v>3335</v>
      </c>
      <c r="B106" t="s">
        <v>126</v>
      </c>
      <c r="C106" t="s">
        <v>19</v>
      </c>
      <c r="D106" s="4">
        <v>45452</v>
      </c>
      <c r="E106" t="s">
        <v>16</v>
      </c>
      <c r="F106" s="5">
        <v>5</v>
      </c>
      <c r="G106" t="s">
        <v>17</v>
      </c>
      <c r="H106" t="s">
        <v>20</v>
      </c>
      <c r="I106" s="5">
        <v>0</v>
      </c>
      <c r="J106" t="s">
        <v>20</v>
      </c>
      <c r="K106" s="5">
        <v>0</v>
      </c>
      <c r="L106" s="5">
        <v>2</v>
      </c>
      <c r="M106" s="5">
        <v>3</v>
      </c>
    </row>
    <row r="107" spans="1:13" ht="19.05" customHeight="1" x14ac:dyDescent="0.3">
      <c r="A107">
        <v>3336</v>
      </c>
      <c r="B107" t="s">
        <v>127</v>
      </c>
      <c r="C107" t="s">
        <v>19</v>
      </c>
      <c r="D107" s="4">
        <v>45453</v>
      </c>
      <c r="E107" t="s">
        <v>16</v>
      </c>
      <c r="F107" s="5">
        <v>5</v>
      </c>
      <c r="G107" t="s">
        <v>17</v>
      </c>
      <c r="H107" t="s">
        <v>20</v>
      </c>
      <c r="I107" s="5">
        <v>0</v>
      </c>
      <c r="J107" t="s">
        <v>20</v>
      </c>
      <c r="K107" s="5">
        <v>0</v>
      </c>
      <c r="L107" s="5">
        <v>0</v>
      </c>
      <c r="M107" s="5">
        <v>5</v>
      </c>
    </row>
    <row r="108" spans="1:13" ht="19.05" customHeight="1" x14ac:dyDescent="0.3">
      <c r="A108">
        <v>3337</v>
      </c>
      <c r="B108" t="s">
        <v>128</v>
      </c>
      <c r="C108" t="s">
        <v>15</v>
      </c>
      <c r="D108" s="4">
        <v>45454</v>
      </c>
      <c r="E108" t="s">
        <v>20</v>
      </c>
      <c r="F108" s="5">
        <v>15</v>
      </c>
      <c r="G108" t="s">
        <v>24</v>
      </c>
      <c r="H108" t="s">
        <v>16</v>
      </c>
      <c r="I108" s="5">
        <v>30</v>
      </c>
      <c r="J108" t="s">
        <v>16</v>
      </c>
      <c r="K108" s="5">
        <v>20</v>
      </c>
      <c r="L108" s="5">
        <v>7</v>
      </c>
      <c r="M108" s="5">
        <v>58</v>
      </c>
    </row>
    <row r="109" spans="1:13" ht="19.05" customHeight="1" x14ac:dyDescent="0.3">
      <c r="A109">
        <v>3338</v>
      </c>
      <c r="B109" t="s">
        <v>129</v>
      </c>
      <c r="C109" t="s">
        <v>23</v>
      </c>
      <c r="D109" s="4">
        <v>45455</v>
      </c>
      <c r="E109" t="s">
        <v>16</v>
      </c>
      <c r="F109" s="5">
        <v>10</v>
      </c>
      <c r="G109" t="s">
        <v>21</v>
      </c>
      <c r="H109" t="s">
        <v>20</v>
      </c>
      <c r="I109" s="5">
        <v>0</v>
      </c>
      <c r="J109" t="s">
        <v>16</v>
      </c>
      <c r="K109" s="5">
        <v>20</v>
      </c>
      <c r="L109" s="5">
        <v>10</v>
      </c>
      <c r="M109" s="5">
        <v>20</v>
      </c>
    </row>
    <row r="110" spans="1:13" ht="19.05" customHeight="1" x14ac:dyDescent="0.3">
      <c r="A110">
        <v>3339</v>
      </c>
      <c r="B110" t="s">
        <v>130</v>
      </c>
      <c r="C110" t="s">
        <v>19</v>
      </c>
      <c r="D110" s="4">
        <v>45456</v>
      </c>
      <c r="E110" t="s">
        <v>20</v>
      </c>
      <c r="F110" s="5">
        <v>5</v>
      </c>
      <c r="G110" t="s">
        <v>24</v>
      </c>
      <c r="H110" t="s">
        <v>20</v>
      </c>
      <c r="I110" s="5">
        <v>0</v>
      </c>
      <c r="J110" t="s">
        <v>20</v>
      </c>
      <c r="K110" s="5">
        <v>0</v>
      </c>
      <c r="L110" s="5">
        <v>1</v>
      </c>
      <c r="M110" s="5">
        <v>4</v>
      </c>
    </row>
    <row r="111" spans="1:13" ht="19.05" customHeight="1" x14ac:dyDescent="0.3">
      <c r="A111">
        <v>3340</v>
      </c>
      <c r="B111" t="s">
        <v>131</v>
      </c>
      <c r="C111" t="s">
        <v>15</v>
      </c>
      <c r="D111" s="4">
        <v>45457</v>
      </c>
      <c r="E111" t="s">
        <v>16</v>
      </c>
      <c r="F111" s="5">
        <v>15</v>
      </c>
      <c r="G111" t="s">
        <v>17</v>
      </c>
      <c r="H111" t="s">
        <v>16</v>
      </c>
      <c r="I111" s="5">
        <v>30</v>
      </c>
      <c r="J111" t="s">
        <v>16</v>
      </c>
      <c r="K111" s="5">
        <v>20</v>
      </c>
      <c r="L111" s="5">
        <v>15</v>
      </c>
      <c r="M111" s="5">
        <v>50</v>
      </c>
    </row>
    <row r="112" spans="1:13" ht="19.05" customHeight="1" x14ac:dyDescent="0.3">
      <c r="A112">
        <v>3341</v>
      </c>
      <c r="B112" t="s">
        <v>132</v>
      </c>
      <c r="C112" t="s">
        <v>23</v>
      </c>
      <c r="D112" s="4">
        <v>45458</v>
      </c>
      <c r="E112" t="s">
        <v>20</v>
      </c>
      <c r="F112" s="5">
        <v>10</v>
      </c>
      <c r="G112" t="s">
        <v>17</v>
      </c>
      <c r="H112" t="s">
        <v>20</v>
      </c>
      <c r="I112" s="5">
        <v>0</v>
      </c>
      <c r="J112" t="s">
        <v>16</v>
      </c>
      <c r="K112" s="5">
        <v>20</v>
      </c>
      <c r="L112" s="5">
        <v>5</v>
      </c>
      <c r="M112" s="5">
        <v>25</v>
      </c>
    </row>
    <row r="113" spans="1:13" ht="19.05" customHeight="1" x14ac:dyDescent="0.3">
      <c r="A113">
        <v>3342</v>
      </c>
      <c r="B113" t="s">
        <v>133</v>
      </c>
      <c r="C113" t="s">
        <v>19</v>
      </c>
      <c r="D113" s="4">
        <v>45459</v>
      </c>
      <c r="E113" t="s">
        <v>16</v>
      </c>
      <c r="F113" s="5">
        <v>5</v>
      </c>
      <c r="G113" t="s">
        <v>21</v>
      </c>
      <c r="H113" t="s">
        <v>20</v>
      </c>
      <c r="I113" s="5">
        <v>0</v>
      </c>
      <c r="J113" t="s">
        <v>20</v>
      </c>
      <c r="K113" s="5">
        <v>0</v>
      </c>
      <c r="L113" s="5">
        <v>0</v>
      </c>
      <c r="M113" s="5">
        <v>5</v>
      </c>
    </row>
    <row r="114" spans="1:13" ht="19.05" customHeight="1" x14ac:dyDescent="0.3">
      <c r="A114">
        <v>3343</v>
      </c>
      <c r="B114" t="s">
        <v>134</v>
      </c>
      <c r="C114" t="s">
        <v>15</v>
      </c>
      <c r="D114" s="4">
        <v>45460</v>
      </c>
      <c r="E114" t="s">
        <v>20</v>
      </c>
      <c r="F114" s="5">
        <v>15</v>
      </c>
      <c r="G114" t="s">
        <v>24</v>
      </c>
      <c r="H114" t="s">
        <v>16</v>
      </c>
      <c r="I114" s="5">
        <v>30</v>
      </c>
      <c r="J114" t="s">
        <v>16</v>
      </c>
      <c r="K114" s="5">
        <v>20</v>
      </c>
      <c r="L114" s="5">
        <v>20</v>
      </c>
      <c r="M114" s="5">
        <v>45</v>
      </c>
    </row>
    <row r="115" spans="1:13" ht="19.05" customHeight="1" x14ac:dyDescent="0.3">
      <c r="A115">
        <v>3344</v>
      </c>
      <c r="B115" t="s">
        <v>135</v>
      </c>
      <c r="C115" t="s">
        <v>23</v>
      </c>
      <c r="D115" s="4">
        <v>45461</v>
      </c>
      <c r="E115" t="s">
        <v>16</v>
      </c>
      <c r="F115" s="5">
        <v>10</v>
      </c>
      <c r="G115" t="s">
        <v>24</v>
      </c>
      <c r="H115" t="s">
        <v>20</v>
      </c>
      <c r="I115" s="5">
        <v>0</v>
      </c>
      <c r="J115" t="s">
        <v>16</v>
      </c>
      <c r="K115" s="5">
        <v>20</v>
      </c>
      <c r="L115" s="5">
        <v>12</v>
      </c>
      <c r="M115" s="5">
        <v>18</v>
      </c>
    </row>
    <row r="116" spans="1:13" ht="19.05" customHeight="1" x14ac:dyDescent="0.3">
      <c r="A116">
        <v>3345</v>
      </c>
      <c r="B116" t="s">
        <v>136</v>
      </c>
      <c r="C116" t="s">
        <v>19</v>
      </c>
      <c r="D116" s="4">
        <v>45462</v>
      </c>
      <c r="E116" t="s">
        <v>20</v>
      </c>
      <c r="F116" s="5">
        <v>5</v>
      </c>
      <c r="G116" t="s">
        <v>17</v>
      </c>
      <c r="H116" t="s">
        <v>20</v>
      </c>
      <c r="I116" s="5">
        <v>0</v>
      </c>
      <c r="J116" t="s">
        <v>20</v>
      </c>
      <c r="K116" s="5">
        <v>0</v>
      </c>
      <c r="L116" s="5">
        <v>2</v>
      </c>
      <c r="M116" s="5">
        <v>3</v>
      </c>
    </row>
    <row r="117" spans="1:13" ht="19.05" customHeight="1" x14ac:dyDescent="0.3">
      <c r="A117">
        <v>3346</v>
      </c>
      <c r="B117" t="s">
        <v>137</v>
      </c>
      <c r="C117" t="s">
        <v>15</v>
      </c>
      <c r="D117" s="4">
        <v>45463</v>
      </c>
      <c r="E117" t="s">
        <v>16</v>
      </c>
      <c r="F117" s="5">
        <v>15</v>
      </c>
      <c r="G117" t="s">
        <v>21</v>
      </c>
      <c r="H117" t="s">
        <v>16</v>
      </c>
      <c r="I117" s="5">
        <v>30</v>
      </c>
      <c r="J117" t="s">
        <v>16</v>
      </c>
      <c r="K117" s="5">
        <v>20</v>
      </c>
      <c r="L117" s="5">
        <v>5</v>
      </c>
      <c r="M117" s="5">
        <v>60</v>
      </c>
    </row>
    <row r="118" spans="1:13" ht="19.05" customHeight="1" x14ac:dyDescent="0.3">
      <c r="A118">
        <v>3347</v>
      </c>
      <c r="B118" t="s">
        <v>138</v>
      </c>
      <c r="C118" t="s">
        <v>23</v>
      </c>
      <c r="D118" s="4">
        <v>45464</v>
      </c>
      <c r="E118" t="s">
        <v>20</v>
      </c>
      <c r="F118" s="5">
        <v>10</v>
      </c>
      <c r="G118" t="s">
        <v>17</v>
      </c>
      <c r="H118" t="s">
        <v>20</v>
      </c>
      <c r="I118" s="5">
        <v>0</v>
      </c>
      <c r="J118" t="s">
        <v>16</v>
      </c>
      <c r="K118" s="5">
        <v>20</v>
      </c>
      <c r="L118" s="5">
        <v>10</v>
      </c>
      <c r="M118" s="5">
        <v>20</v>
      </c>
    </row>
    <row r="119" spans="1:13" ht="19.05" customHeight="1" x14ac:dyDescent="0.3">
      <c r="A119">
        <v>3348</v>
      </c>
      <c r="B119" t="s">
        <v>139</v>
      </c>
      <c r="C119" t="s">
        <v>19</v>
      </c>
      <c r="D119" s="4">
        <v>45465</v>
      </c>
      <c r="E119" t="s">
        <v>16</v>
      </c>
      <c r="F119" s="5">
        <v>5</v>
      </c>
      <c r="G119" t="s">
        <v>24</v>
      </c>
      <c r="H119" t="s">
        <v>20</v>
      </c>
      <c r="I119" s="5">
        <v>0</v>
      </c>
      <c r="J119" t="s">
        <v>20</v>
      </c>
      <c r="K119" s="5">
        <v>0</v>
      </c>
      <c r="L119" s="5">
        <v>0</v>
      </c>
      <c r="M119" s="5">
        <v>5</v>
      </c>
    </row>
    <row r="120" spans="1:13" ht="19.05" customHeight="1" x14ac:dyDescent="0.3">
      <c r="A120">
        <v>3349</v>
      </c>
      <c r="B120" t="s">
        <v>115</v>
      </c>
      <c r="C120" t="s">
        <v>15</v>
      </c>
      <c r="D120" s="4">
        <v>45466</v>
      </c>
      <c r="E120" t="s">
        <v>20</v>
      </c>
      <c r="F120" s="5">
        <v>15</v>
      </c>
      <c r="G120" t="s">
        <v>17</v>
      </c>
      <c r="H120" t="s">
        <v>16</v>
      </c>
      <c r="I120" s="5">
        <v>30</v>
      </c>
      <c r="J120" t="s">
        <v>16</v>
      </c>
      <c r="K120" s="5">
        <v>20</v>
      </c>
      <c r="L120" s="5">
        <v>3</v>
      </c>
      <c r="M120" s="5">
        <v>62</v>
      </c>
    </row>
    <row r="121" spans="1:13" ht="19.05" customHeight="1" x14ac:dyDescent="0.3">
      <c r="A121">
        <v>3350</v>
      </c>
      <c r="B121" t="s">
        <v>140</v>
      </c>
      <c r="C121" t="s">
        <v>23</v>
      </c>
      <c r="D121" s="4">
        <v>45467</v>
      </c>
      <c r="E121" t="s">
        <v>16</v>
      </c>
      <c r="F121" s="5">
        <v>10</v>
      </c>
      <c r="G121" t="s">
        <v>21</v>
      </c>
      <c r="H121" t="s">
        <v>20</v>
      </c>
      <c r="I121" s="5">
        <v>0</v>
      </c>
      <c r="J121" t="s">
        <v>16</v>
      </c>
      <c r="K121" s="5">
        <v>20</v>
      </c>
      <c r="L121" s="5">
        <v>15</v>
      </c>
      <c r="M121" s="5">
        <v>15</v>
      </c>
    </row>
    <row r="122" spans="1:13" ht="19.05" customHeight="1" x14ac:dyDescent="0.3">
      <c r="A122">
        <v>3351</v>
      </c>
      <c r="B122" t="s">
        <v>141</v>
      </c>
      <c r="C122" t="s">
        <v>19</v>
      </c>
      <c r="D122" s="4">
        <v>45468</v>
      </c>
      <c r="E122" t="s">
        <v>20</v>
      </c>
      <c r="F122" s="5">
        <v>5</v>
      </c>
      <c r="G122" t="s">
        <v>17</v>
      </c>
      <c r="H122" t="s">
        <v>20</v>
      </c>
      <c r="I122" s="5">
        <v>0</v>
      </c>
      <c r="J122" t="s">
        <v>20</v>
      </c>
      <c r="K122" s="5">
        <v>0</v>
      </c>
      <c r="L122" s="5">
        <v>1</v>
      </c>
      <c r="M122" s="5">
        <v>4</v>
      </c>
    </row>
    <row r="123" spans="1:13" ht="19.05" customHeight="1" x14ac:dyDescent="0.3">
      <c r="A123">
        <v>3352</v>
      </c>
      <c r="B123" t="s">
        <v>142</v>
      </c>
      <c r="C123" t="s">
        <v>15</v>
      </c>
      <c r="D123" s="4">
        <v>45469</v>
      </c>
      <c r="E123" t="s">
        <v>16</v>
      </c>
      <c r="F123" s="5">
        <v>15</v>
      </c>
      <c r="G123" t="s">
        <v>24</v>
      </c>
      <c r="H123" t="s">
        <v>16</v>
      </c>
      <c r="I123" s="5">
        <v>30</v>
      </c>
      <c r="J123" t="s">
        <v>16</v>
      </c>
      <c r="K123" s="5">
        <v>20</v>
      </c>
      <c r="L123" s="5">
        <v>7</v>
      </c>
      <c r="M123" s="5">
        <v>58</v>
      </c>
    </row>
    <row r="124" spans="1:13" ht="19.05" customHeight="1" x14ac:dyDescent="0.3">
      <c r="A124">
        <v>3353</v>
      </c>
      <c r="B124" t="s">
        <v>143</v>
      </c>
      <c r="C124" t="s">
        <v>23</v>
      </c>
      <c r="D124" s="4">
        <v>45470</v>
      </c>
      <c r="E124" t="s">
        <v>20</v>
      </c>
      <c r="F124" s="5">
        <v>10</v>
      </c>
      <c r="G124" t="s">
        <v>17</v>
      </c>
      <c r="H124" t="s">
        <v>20</v>
      </c>
      <c r="I124" s="5">
        <v>0</v>
      </c>
      <c r="J124" t="s">
        <v>16</v>
      </c>
      <c r="K124" s="5">
        <v>20</v>
      </c>
      <c r="L124" s="5">
        <v>10</v>
      </c>
      <c r="M124" s="5">
        <v>20</v>
      </c>
    </row>
    <row r="125" spans="1:13" ht="19.05" customHeight="1" x14ac:dyDescent="0.3">
      <c r="A125">
        <v>3354</v>
      </c>
      <c r="B125" t="s">
        <v>144</v>
      </c>
      <c r="C125" t="s">
        <v>19</v>
      </c>
      <c r="D125" s="4">
        <v>45471</v>
      </c>
      <c r="E125" t="s">
        <v>16</v>
      </c>
      <c r="F125" s="5">
        <v>5</v>
      </c>
      <c r="G125" t="s">
        <v>21</v>
      </c>
      <c r="H125" t="s">
        <v>20</v>
      </c>
      <c r="I125" s="5">
        <v>0</v>
      </c>
      <c r="J125" t="s">
        <v>20</v>
      </c>
      <c r="K125" s="5">
        <v>0</v>
      </c>
      <c r="L125" s="5">
        <v>0</v>
      </c>
      <c r="M125" s="5">
        <v>5</v>
      </c>
    </row>
    <row r="126" spans="1:13" ht="19.05" customHeight="1" x14ac:dyDescent="0.3">
      <c r="A126">
        <v>3355</v>
      </c>
      <c r="B126" t="s">
        <v>145</v>
      </c>
      <c r="C126" t="s">
        <v>15</v>
      </c>
      <c r="D126" s="4">
        <v>45472</v>
      </c>
      <c r="E126" t="s">
        <v>20</v>
      </c>
      <c r="F126" s="5">
        <v>15</v>
      </c>
      <c r="G126" t="s">
        <v>17</v>
      </c>
      <c r="H126" t="s">
        <v>16</v>
      </c>
      <c r="I126" s="5">
        <v>30</v>
      </c>
      <c r="J126" t="s">
        <v>16</v>
      </c>
      <c r="K126" s="5">
        <v>20</v>
      </c>
      <c r="L126" s="5">
        <v>20</v>
      </c>
      <c r="M126" s="5">
        <v>45</v>
      </c>
    </row>
    <row r="127" spans="1:13" ht="19.05" customHeight="1" x14ac:dyDescent="0.3">
      <c r="A127">
        <v>3356</v>
      </c>
      <c r="B127" t="s">
        <v>146</v>
      </c>
      <c r="C127" t="s">
        <v>23</v>
      </c>
      <c r="D127" s="4">
        <v>45473</v>
      </c>
      <c r="E127" t="s">
        <v>16</v>
      </c>
      <c r="F127" s="5">
        <v>10</v>
      </c>
      <c r="G127" t="s">
        <v>24</v>
      </c>
      <c r="H127" t="s">
        <v>20</v>
      </c>
      <c r="I127" s="5">
        <v>0</v>
      </c>
      <c r="J127" t="s">
        <v>16</v>
      </c>
      <c r="K127" s="5">
        <v>20</v>
      </c>
      <c r="L127" s="5">
        <v>15</v>
      </c>
      <c r="M127" s="5">
        <v>15</v>
      </c>
    </row>
    <row r="128" spans="1:13" ht="19.05" customHeight="1" x14ac:dyDescent="0.3">
      <c r="A128">
        <v>3357</v>
      </c>
      <c r="B128" t="s">
        <v>147</v>
      </c>
      <c r="C128" t="s">
        <v>19</v>
      </c>
      <c r="D128" s="4">
        <v>45474</v>
      </c>
      <c r="E128" t="s">
        <v>20</v>
      </c>
      <c r="F128" s="5">
        <v>5</v>
      </c>
      <c r="G128" t="s">
        <v>17</v>
      </c>
      <c r="H128" t="s">
        <v>20</v>
      </c>
      <c r="I128" s="5">
        <v>0</v>
      </c>
      <c r="J128" t="s">
        <v>20</v>
      </c>
      <c r="K128" s="5">
        <v>0</v>
      </c>
      <c r="L128" s="5">
        <v>1</v>
      </c>
      <c r="M128" s="5">
        <v>4</v>
      </c>
    </row>
    <row r="129" spans="1:13" ht="19.05" customHeight="1" x14ac:dyDescent="0.3">
      <c r="A129">
        <v>3358</v>
      </c>
      <c r="B129" t="s">
        <v>148</v>
      </c>
      <c r="C129" t="s">
        <v>15</v>
      </c>
      <c r="D129" s="4">
        <v>45475</v>
      </c>
      <c r="E129" t="s">
        <v>16</v>
      </c>
      <c r="F129" s="5">
        <v>15</v>
      </c>
      <c r="G129" t="s">
        <v>21</v>
      </c>
      <c r="H129" t="s">
        <v>16</v>
      </c>
      <c r="I129" s="5">
        <v>30</v>
      </c>
      <c r="J129" t="s">
        <v>16</v>
      </c>
      <c r="K129" s="5">
        <v>20</v>
      </c>
      <c r="L129" s="5">
        <v>3</v>
      </c>
      <c r="M129" s="5">
        <v>62</v>
      </c>
    </row>
    <row r="130" spans="1:13" ht="19.05" customHeight="1" x14ac:dyDescent="0.3">
      <c r="A130">
        <v>3359</v>
      </c>
      <c r="B130" t="s">
        <v>149</v>
      </c>
      <c r="C130" t="s">
        <v>23</v>
      </c>
      <c r="D130" s="4">
        <v>45476</v>
      </c>
      <c r="E130" t="s">
        <v>20</v>
      </c>
      <c r="F130" s="5">
        <v>10</v>
      </c>
      <c r="G130" t="s">
        <v>17</v>
      </c>
      <c r="H130" t="s">
        <v>20</v>
      </c>
      <c r="I130" s="5">
        <v>0</v>
      </c>
      <c r="J130" t="s">
        <v>16</v>
      </c>
      <c r="K130" s="5">
        <v>20</v>
      </c>
      <c r="L130" s="5">
        <v>10</v>
      </c>
      <c r="M130" s="5">
        <v>20</v>
      </c>
    </row>
    <row r="131" spans="1:13" ht="19.05" customHeight="1" x14ac:dyDescent="0.3">
      <c r="A131">
        <v>3360</v>
      </c>
      <c r="B131" t="s">
        <v>150</v>
      </c>
      <c r="C131" t="s">
        <v>19</v>
      </c>
      <c r="D131" s="4">
        <v>45477</v>
      </c>
      <c r="E131" t="s">
        <v>16</v>
      </c>
      <c r="F131" s="5">
        <v>5</v>
      </c>
      <c r="G131" t="s">
        <v>24</v>
      </c>
      <c r="H131" t="s">
        <v>20</v>
      </c>
      <c r="I131" s="5">
        <v>0</v>
      </c>
      <c r="J131" t="s">
        <v>20</v>
      </c>
      <c r="K131" s="5">
        <v>0</v>
      </c>
      <c r="L131" s="5">
        <v>0</v>
      </c>
      <c r="M131" s="5">
        <v>5</v>
      </c>
    </row>
    <row r="132" spans="1:13" ht="19.05" customHeight="1" x14ac:dyDescent="0.3">
      <c r="A132">
        <v>3361</v>
      </c>
      <c r="B132" t="s">
        <v>151</v>
      </c>
      <c r="C132" t="s">
        <v>15</v>
      </c>
      <c r="D132" s="4">
        <v>45478</v>
      </c>
      <c r="E132" t="s">
        <v>20</v>
      </c>
      <c r="F132" s="5">
        <v>15</v>
      </c>
      <c r="G132" t="s">
        <v>17</v>
      </c>
      <c r="H132" t="s">
        <v>16</v>
      </c>
      <c r="I132" s="5">
        <v>30</v>
      </c>
      <c r="J132" t="s">
        <v>16</v>
      </c>
      <c r="K132" s="5">
        <v>20</v>
      </c>
      <c r="L132" s="5">
        <v>15</v>
      </c>
      <c r="M132" s="5">
        <v>50</v>
      </c>
    </row>
    <row r="133" spans="1:13" ht="19.05" customHeight="1" x14ac:dyDescent="0.3">
      <c r="A133">
        <v>3362</v>
      </c>
      <c r="B133" t="s">
        <v>152</v>
      </c>
      <c r="C133" t="s">
        <v>23</v>
      </c>
      <c r="D133" s="4">
        <v>45479</v>
      </c>
      <c r="E133" t="s">
        <v>16</v>
      </c>
      <c r="F133" s="5">
        <v>10</v>
      </c>
      <c r="G133" t="s">
        <v>21</v>
      </c>
      <c r="H133" t="s">
        <v>20</v>
      </c>
      <c r="I133" s="5">
        <v>0</v>
      </c>
      <c r="J133" t="s">
        <v>16</v>
      </c>
      <c r="K133" s="5">
        <v>20</v>
      </c>
      <c r="L133" s="5">
        <v>15</v>
      </c>
      <c r="M133" s="5">
        <v>15</v>
      </c>
    </row>
    <row r="134" spans="1:13" ht="19.05" customHeight="1" x14ac:dyDescent="0.3">
      <c r="A134">
        <v>3363</v>
      </c>
      <c r="B134" t="s">
        <v>153</v>
      </c>
      <c r="C134" t="s">
        <v>19</v>
      </c>
      <c r="D134" s="4">
        <v>45480</v>
      </c>
      <c r="E134" t="s">
        <v>20</v>
      </c>
      <c r="F134" s="5">
        <v>5</v>
      </c>
      <c r="G134" t="s">
        <v>17</v>
      </c>
      <c r="H134" t="s">
        <v>20</v>
      </c>
      <c r="I134" s="5">
        <v>0</v>
      </c>
      <c r="J134" t="s">
        <v>20</v>
      </c>
      <c r="K134" s="5">
        <v>0</v>
      </c>
      <c r="L134" s="5">
        <v>1</v>
      </c>
      <c r="M134" s="5">
        <v>4</v>
      </c>
    </row>
    <row r="135" spans="1:13" ht="19.05" customHeight="1" x14ac:dyDescent="0.3">
      <c r="A135">
        <v>3364</v>
      </c>
      <c r="B135" t="s">
        <v>154</v>
      </c>
      <c r="C135" t="s">
        <v>15</v>
      </c>
      <c r="D135" s="4">
        <v>45481</v>
      </c>
      <c r="E135" t="s">
        <v>16</v>
      </c>
      <c r="F135" s="5">
        <v>15</v>
      </c>
      <c r="G135" t="s">
        <v>24</v>
      </c>
      <c r="H135" t="s">
        <v>16</v>
      </c>
      <c r="I135" s="5">
        <v>30</v>
      </c>
      <c r="J135" t="s">
        <v>16</v>
      </c>
      <c r="K135" s="5">
        <v>20</v>
      </c>
      <c r="L135" s="5">
        <v>7</v>
      </c>
      <c r="M135" s="5">
        <v>58</v>
      </c>
    </row>
    <row r="136" spans="1:13" ht="19.05" customHeight="1" x14ac:dyDescent="0.3">
      <c r="A136">
        <v>3365</v>
      </c>
      <c r="B136" t="s">
        <v>155</v>
      </c>
      <c r="C136" t="s">
        <v>23</v>
      </c>
      <c r="D136" s="4">
        <v>45482</v>
      </c>
      <c r="E136" t="s">
        <v>20</v>
      </c>
      <c r="F136" s="5">
        <v>10</v>
      </c>
      <c r="G136" t="s">
        <v>17</v>
      </c>
      <c r="H136" t="s">
        <v>20</v>
      </c>
      <c r="I136" s="5">
        <v>0</v>
      </c>
      <c r="J136" t="s">
        <v>16</v>
      </c>
      <c r="K136" s="5">
        <v>20</v>
      </c>
      <c r="L136" s="5">
        <v>10</v>
      </c>
      <c r="M136" s="5">
        <v>20</v>
      </c>
    </row>
    <row r="137" spans="1:13" ht="19.05" customHeight="1" x14ac:dyDescent="0.3">
      <c r="A137">
        <v>3366</v>
      </c>
      <c r="B137" t="s">
        <v>156</v>
      </c>
      <c r="C137" t="s">
        <v>19</v>
      </c>
      <c r="D137" s="4">
        <v>45483</v>
      </c>
      <c r="E137" t="s">
        <v>16</v>
      </c>
      <c r="F137" s="5">
        <v>5</v>
      </c>
      <c r="G137" t="s">
        <v>17</v>
      </c>
      <c r="H137" t="s">
        <v>20</v>
      </c>
      <c r="I137" s="5">
        <v>0</v>
      </c>
      <c r="J137" t="s">
        <v>20</v>
      </c>
      <c r="K137" s="5">
        <v>0</v>
      </c>
      <c r="L137" s="5">
        <v>0</v>
      </c>
      <c r="M137" s="5">
        <v>5</v>
      </c>
    </row>
    <row r="138" spans="1:13" ht="19.05" customHeight="1" x14ac:dyDescent="0.3">
      <c r="A138">
        <v>3367</v>
      </c>
      <c r="B138" t="s">
        <v>157</v>
      </c>
      <c r="C138" t="s">
        <v>15</v>
      </c>
      <c r="D138" s="4">
        <v>45484</v>
      </c>
      <c r="E138" t="s">
        <v>20</v>
      </c>
      <c r="F138" s="5">
        <v>15</v>
      </c>
      <c r="G138" t="s">
        <v>24</v>
      </c>
      <c r="H138" t="s">
        <v>16</v>
      </c>
      <c r="I138" s="5">
        <v>30</v>
      </c>
      <c r="J138" t="s">
        <v>16</v>
      </c>
      <c r="K138" s="5">
        <v>20</v>
      </c>
      <c r="L138" s="5">
        <v>7</v>
      </c>
      <c r="M138" s="5">
        <v>58</v>
      </c>
    </row>
    <row r="139" spans="1:13" ht="19.05" customHeight="1" x14ac:dyDescent="0.3">
      <c r="A139">
        <v>3368</v>
      </c>
      <c r="B139" t="s">
        <v>158</v>
      </c>
      <c r="C139" t="s">
        <v>23</v>
      </c>
      <c r="D139" s="4">
        <v>45485</v>
      </c>
      <c r="E139" t="s">
        <v>16</v>
      </c>
      <c r="F139" s="5">
        <v>10</v>
      </c>
      <c r="G139" t="s">
        <v>21</v>
      </c>
      <c r="H139" t="s">
        <v>20</v>
      </c>
      <c r="I139" s="5">
        <v>0</v>
      </c>
      <c r="J139" t="s">
        <v>16</v>
      </c>
      <c r="K139" s="5">
        <v>20</v>
      </c>
      <c r="L139" s="5">
        <v>10</v>
      </c>
      <c r="M139" s="5">
        <v>20</v>
      </c>
    </row>
    <row r="140" spans="1:13" ht="19.05" customHeight="1" x14ac:dyDescent="0.3">
      <c r="A140">
        <v>3369</v>
      </c>
      <c r="B140" t="s">
        <v>159</v>
      </c>
      <c r="C140" t="s">
        <v>19</v>
      </c>
      <c r="D140" s="4">
        <v>45486</v>
      </c>
      <c r="E140" t="s">
        <v>20</v>
      </c>
      <c r="F140" s="5">
        <v>5</v>
      </c>
      <c r="G140" t="s">
        <v>24</v>
      </c>
      <c r="H140" t="s">
        <v>20</v>
      </c>
      <c r="I140" s="5">
        <v>0</v>
      </c>
      <c r="J140" t="s">
        <v>20</v>
      </c>
      <c r="K140" s="5">
        <v>0</v>
      </c>
      <c r="L140" s="5">
        <v>1</v>
      </c>
      <c r="M140" s="5">
        <v>4</v>
      </c>
    </row>
    <row r="141" spans="1:13" ht="19.05" customHeight="1" x14ac:dyDescent="0.3">
      <c r="A141">
        <v>3370</v>
      </c>
      <c r="B141" t="s">
        <v>160</v>
      </c>
      <c r="C141" t="s">
        <v>15</v>
      </c>
      <c r="D141" s="4">
        <v>45487</v>
      </c>
      <c r="E141" t="s">
        <v>16</v>
      </c>
      <c r="F141" s="5">
        <v>15</v>
      </c>
      <c r="G141" t="s">
        <v>17</v>
      </c>
      <c r="H141" t="s">
        <v>16</v>
      </c>
      <c r="I141" s="5">
        <v>30</v>
      </c>
      <c r="J141" t="s">
        <v>16</v>
      </c>
      <c r="K141" s="5">
        <v>20</v>
      </c>
      <c r="L141" s="5">
        <v>15</v>
      </c>
      <c r="M141" s="5">
        <v>50</v>
      </c>
    </row>
    <row r="142" spans="1:13" ht="19.05" customHeight="1" x14ac:dyDescent="0.3">
      <c r="A142">
        <v>3371</v>
      </c>
      <c r="B142" t="s">
        <v>161</v>
      </c>
      <c r="C142" t="s">
        <v>23</v>
      </c>
      <c r="D142" s="4">
        <v>45488</v>
      </c>
      <c r="E142" t="s">
        <v>20</v>
      </c>
      <c r="F142" s="5">
        <v>10</v>
      </c>
      <c r="G142" t="s">
        <v>17</v>
      </c>
      <c r="H142" t="s">
        <v>20</v>
      </c>
      <c r="I142" s="5">
        <v>0</v>
      </c>
      <c r="J142" t="s">
        <v>16</v>
      </c>
      <c r="K142" s="5">
        <v>20</v>
      </c>
      <c r="L142" s="5">
        <v>5</v>
      </c>
      <c r="M142" s="5">
        <v>25</v>
      </c>
    </row>
    <row r="143" spans="1:13" ht="19.05" customHeight="1" x14ac:dyDescent="0.3">
      <c r="A143">
        <v>3372</v>
      </c>
      <c r="B143" t="s">
        <v>162</v>
      </c>
      <c r="C143" t="s">
        <v>19</v>
      </c>
      <c r="D143" s="4">
        <v>45489</v>
      </c>
      <c r="E143" t="s">
        <v>16</v>
      </c>
      <c r="F143" s="5">
        <v>5</v>
      </c>
      <c r="G143" t="s">
        <v>21</v>
      </c>
      <c r="H143" t="s">
        <v>20</v>
      </c>
      <c r="I143" s="5">
        <v>0</v>
      </c>
      <c r="J143" t="s">
        <v>20</v>
      </c>
      <c r="K143" s="5">
        <v>0</v>
      </c>
      <c r="L143" s="5">
        <v>0</v>
      </c>
      <c r="M143" s="5">
        <v>5</v>
      </c>
    </row>
    <row r="144" spans="1:13" ht="19.05" customHeight="1" x14ac:dyDescent="0.3">
      <c r="A144">
        <v>3373</v>
      </c>
      <c r="B144" t="s">
        <v>163</v>
      </c>
      <c r="C144" t="s">
        <v>15</v>
      </c>
      <c r="D144" s="4">
        <v>45490</v>
      </c>
      <c r="E144" t="s">
        <v>20</v>
      </c>
      <c r="F144" s="5">
        <v>15</v>
      </c>
      <c r="G144" t="s">
        <v>24</v>
      </c>
      <c r="H144" t="s">
        <v>16</v>
      </c>
      <c r="I144" s="5">
        <v>30</v>
      </c>
      <c r="J144" t="s">
        <v>16</v>
      </c>
      <c r="K144" s="5">
        <v>20</v>
      </c>
      <c r="L144" s="5">
        <v>20</v>
      </c>
      <c r="M144" s="5">
        <v>45</v>
      </c>
    </row>
    <row r="145" spans="1:13" ht="19.05" customHeight="1" x14ac:dyDescent="0.3">
      <c r="A145">
        <v>3374</v>
      </c>
      <c r="B145" t="s">
        <v>164</v>
      </c>
      <c r="C145" t="s">
        <v>23</v>
      </c>
      <c r="D145" s="4">
        <v>45491</v>
      </c>
      <c r="E145" t="s">
        <v>16</v>
      </c>
      <c r="F145" s="5">
        <v>10</v>
      </c>
      <c r="G145" t="s">
        <v>24</v>
      </c>
      <c r="H145" t="s">
        <v>20</v>
      </c>
      <c r="I145" s="5">
        <v>0</v>
      </c>
      <c r="J145" t="s">
        <v>16</v>
      </c>
      <c r="K145" s="5">
        <v>20</v>
      </c>
      <c r="L145" s="5">
        <v>12</v>
      </c>
      <c r="M145" s="5">
        <v>18</v>
      </c>
    </row>
    <row r="146" spans="1:13" ht="19.05" customHeight="1" x14ac:dyDescent="0.3">
      <c r="A146">
        <v>3375</v>
      </c>
      <c r="B146" t="s">
        <v>165</v>
      </c>
      <c r="C146" t="s">
        <v>19</v>
      </c>
      <c r="D146" s="4">
        <v>45492</v>
      </c>
      <c r="E146" t="s">
        <v>20</v>
      </c>
      <c r="F146" s="5">
        <v>5</v>
      </c>
      <c r="G146" t="s">
        <v>17</v>
      </c>
      <c r="H146" t="s">
        <v>20</v>
      </c>
      <c r="I146" s="5">
        <v>0</v>
      </c>
      <c r="J146" t="s">
        <v>20</v>
      </c>
      <c r="K146" s="5">
        <v>0</v>
      </c>
      <c r="L146" s="5">
        <v>2</v>
      </c>
      <c r="M146" s="5">
        <v>3</v>
      </c>
    </row>
    <row r="147" spans="1:13" ht="19.05" customHeight="1" x14ac:dyDescent="0.3">
      <c r="A147">
        <v>3376</v>
      </c>
      <c r="B147" t="s">
        <v>166</v>
      </c>
      <c r="C147" t="s">
        <v>15</v>
      </c>
      <c r="D147" s="4">
        <v>45493</v>
      </c>
      <c r="E147" t="s">
        <v>16</v>
      </c>
      <c r="F147" s="5">
        <v>15</v>
      </c>
      <c r="G147" t="s">
        <v>21</v>
      </c>
      <c r="H147" t="s">
        <v>16</v>
      </c>
      <c r="I147" s="5">
        <v>30</v>
      </c>
      <c r="J147" t="s">
        <v>16</v>
      </c>
      <c r="K147" s="5">
        <v>20</v>
      </c>
      <c r="L147" s="5">
        <v>5</v>
      </c>
      <c r="M147" s="5">
        <v>60</v>
      </c>
    </row>
    <row r="148" spans="1:13" ht="19.05" customHeight="1" x14ac:dyDescent="0.3">
      <c r="A148">
        <v>3377</v>
      </c>
      <c r="B148" t="s">
        <v>167</v>
      </c>
      <c r="C148" t="s">
        <v>23</v>
      </c>
      <c r="D148" s="4">
        <v>45494</v>
      </c>
      <c r="E148" t="s">
        <v>20</v>
      </c>
      <c r="F148" s="5">
        <v>10</v>
      </c>
      <c r="G148" t="s">
        <v>17</v>
      </c>
      <c r="H148" t="s">
        <v>20</v>
      </c>
      <c r="I148" s="5">
        <v>0</v>
      </c>
      <c r="J148" t="s">
        <v>16</v>
      </c>
      <c r="K148" s="5">
        <v>20</v>
      </c>
      <c r="L148" s="5">
        <v>10</v>
      </c>
      <c r="M148" s="5">
        <v>20</v>
      </c>
    </row>
    <row r="149" spans="1:13" ht="19.05" customHeight="1" x14ac:dyDescent="0.3">
      <c r="A149">
        <v>3378</v>
      </c>
      <c r="B149" t="s">
        <v>168</v>
      </c>
      <c r="C149" t="s">
        <v>19</v>
      </c>
      <c r="D149" s="4">
        <v>45495</v>
      </c>
      <c r="E149" t="s">
        <v>16</v>
      </c>
      <c r="F149" s="5">
        <v>5</v>
      </c>
      <c r="G149" t="s">
        <v>24</v>
      </c>
      <c r="H149" t="s">
        <v>20</v>
      </c>
      <c r="I149" s="5">
        <v>0</v>
      </c>
      <c r="J149" t="s">
        <v>20</v>
      </c>
      <c r="K149" s="5">
        <v>0</v>
      </c>
      <c r="L149" s="5">
        <v>0</v>
      </c>
      <c r="M149" s="5">
        <v>5</v>
      </c>
    </row>
    <row r="150" spans="1:13" ht="19.05" customHeight="1" x14ac:dyDescent="0.3">
      <c r="A150">
        <v>3379</v>
      </c>
      <c r="B150" t="s">
        <v>169</v>
      </c>
      <c r="C150" t="s">
        <v>15</v>
      </c>
      <c r="D150" s="4">
        <v>45496</v>
      </c>
      <c r="E150" t="s">
        <v>20</v>
      </c>
      <c r="F150" s="5">
        <v>15</v>
      </c>
      <c r="G150" t="s">
        <v>17</v>
      </c>
      <c r="H150" t="s">
        <v>16</v>
      </c>
      <c r="I150" s="5">
        <v>30</v>
      </c>
      <c r="J150" t="s">
        <v>16</v>
      </c>
      <c r="K150" s="5">
        <v>20</v>
      </c>
      <c r="L150" s="5">
        <v>3</v>
      </c>
      <c r="M150" s="5">
        <v>62</v>
      </c>
    </row>
    <row r="151" spans="1:13" ht="19.05" customHeight="1" x14ac:dyDescent="0.3">
      <c r="A151">
        <v>3380</v>
      </c>
      <c r="B151" t="s">
        <v>170</v>
      </c>
      <c r="C151" t="s">
        <v>23</v>
      </c>
      <c r="D151" s="4">
        <v>45497</v>
      </c>
      <c r="E151" t="s">
        <v>16</v>
      </c>
      <c r="F151" s="5">
        <v>10</v>
      </c>
      <c r="G151" t="s">
        <v>21</v>
      </c>
      <c r="H151" t="s">
        <v>20</v>
      </c>
      <c r="I151" s="5">
        <v>0</v>
      </c>
      <c r="J151" t="s">
        <v>16</v>
      </c>
      <c r="K151" s="5">
        <v>20</v>
      </c>
      <c r="L151" s="5">
        <v>15</v>
      </c>
      <c r="M151" s="5">
        <v>15</v>
      </c>
    </row>
    <row r="152" spans="1:13" ht="19.05" customHeight="1" x14ac:dyDescent="0.3">
      <c r="A152">
        <v>3381</v>
      </c>
      <c r="B152" t="s">
        <v>171</v>
      </c>
      <c r="C152" t="s">
        <v>19</v>
      </c>
      <c r="D152" s="4">
        <v>45498</v>
      </c>
      <c r="E152" t="s">
        <v>20</v>
      </c>
      <c r="F152" s="5">
        <v>5</v>
      </c>
      <c r="G152" t="s">
        <v>17</v>
      </c>
      <c r="H152" t="s">
        <v>20</v>
      </c>
      <c r="I152" s="5">
        <v>0</v>
      </c>
      <c r="J152" t="s">
        <v>20</v>
      </c>
      <c r="K152" s="5">
        <v>0</v>
      </c>
      <c r="L152" s="5">
        <v>1</v>
      </c>
      <c r="M152" s="5">
        <v>4</v>
      </c>
    </row>
    <row r="153" spans="1:13" ht="19.05" customHeight="1" x14ac:dyDescent="0.3">
      <c r="A153">
        <v>3382</v>
      </c>
      <c r="B153" t="s">
        <v>172</v>
      </c>
      <c r="C153" t="s">
        <v>15</v>
      </c>
      <c r="D153" s="4">
        <v>45499</v>
      </c>
      <c r="E153" t="s">
        <v>16</v>
      </c>
      <c r="F153" s="5">
        <v>15</v>
      </c>
      <c r="G153" t="s">
        <v>24</v>
      </c>
      <c r="H153" t="s">
        <v>16</v>
      </c>
      <c r="I153" s="5">
        <v>30</v>
      </c>
      <c r="J153" t="s">
        <v>16</v>
      </c>
      <c r="K153" s="5">
        <v>20</v>
      </c>
      <c r="L153" s="5">
        <v>7</v>
      </c>
      <c r="M153" s="5">
        <v>58</v>
      </c>
    </row>
    <row r="154" spans="1:13" ht="19.05" customHeight="1" x14ac:dyDescent="0.3">
      <c r="A154">
        <v>3383</v>
      </c>
      <c r="B154" t="s">
        <v>173</v>
      </c>
      <c r="C154" t="s">
        <v>23</v>
      </c>
      <c r="D154" s="4">
        <v>45500</v>
      </c>
      <c r="E154" t="s">
        <v>20</v>
      </c>
      <c r="F154" s="5">
        <v>10</v>
      </c>
      <c r="G154" t="s">
        <v>17</v>
      </c>
      <c r="H154" t="s">
        <v>20</v>
      </c>
      <c r="I154" s="5">
        <v>0</v>
      </c>
      <c r="J154" t="s">
        <v>16</v>
      </c>
      <c r="K154" s="5">
        <v>20</v>
      </c>
      <c r="L154" s="5">
        <v>10</v>
      </c>
      <c r="M154" s="5">
        <v>20</v>
      </c>
    </row>
    <row r="155" spans="1:13" ht="19.05" customHeight="1" x14ac:dyDescent="0.3">
      <c r="A155">
        <v>3384</v>
      </c>
      <c r="B155" t="s">
        <v>174</v>
      </c>
      <c r="C155" t="s">
        <v>19</v>
      </c>
      <c r="D155" s="4">
        <v>45501</v>
      </c>
      <c r="E155" t="s">
        <v>16</v>
      </c>
      <c r="F155" s="5">
        <v>5</v>
      </c>
      <c r="G155" t="s">
        <v>21</v>
      </c>
      <c r="H155" t="s">
        <v>20</v>
      </c>
      <c r="I155" s="5">
        <v>0</v>
      </c>
      <c r="J155" t="s">
        <v>20</v>
      </c>
      <c r="K155" s="5">
        <v>0</v>
      </c>
      <c r="L155" s="5">
        <v>0</v>
      </c>
      <c r="M155" s="5">
        <v>5</v>
      </c>
    </row>
    <row r="156" spans="1:13" ht="19.05" customHeight="1" x14ac:dyDescent="0.3">
      <c r="A156">
        <v>3385</v>
      </c>
      <c r="B156" t="s">
        <v>175</v>
      </c>
      <c r="C156" t="s">
        <v>15</v>
      </c>
      <c r="D156" s="4">
        <v>45502</v>
      </c>
      <c r="E156" t="s">
        <v>20</v>
      </c>
      <c r="F156" s="5">
        <v>15</v>
      </c>
      <c r="G156" t="s">
        <v>17</v>
      </c>
      <c r="H156" t="s">
        <v>16</v>
      </c>
      <c r="I156" s="5">
        <v>30</v>
      </c>
      <c r="J156" t="s">
        <v>16</v>
      </c>
      <c r="K156" s="5">
        <v>20</v>
      </c>
      <c r="L156" s="5">
        <v>20</v>
      </c>
      <c r="M156" s="5">
        <v>45</v>
      </c>
    </row>
    <row r="157" spans="1:13" ht="19.05" customHeight="1" x14ac:dyDescent="0.3">
      <c r="A157">
        <v>3386</v>
      </c>
      <c r="B157" t="s">
        <v>176</v>
      </c>
      <c r="C157" t="s">
        <v>23</v>
      </c>
      <c r="D157" s="4">
        <v>45503</v>
      </c>
      <c r="E157" t="s">
        <v>16</v>
      </c>
      <c r="F157" s="5">
        <v>10</v>
      </c>
      <c r="G157" t="s">
        <v>24</v>
      </c>
      <c r="H157" t="s">
        <v>20</v>
      </c>
      <c r="I157" s="5">
        <v>0</v>
      </c>
      <c r="J157" t="s">
        <v>16</v>
      </c>
      <c r="K157" s="5">
        <v>20</v>
      </c>
      <c r="L157" s="5">
        <v>15</v>
      </c>
      <c r="M157" s="5">
        <v>15</v>
      </c>
    </row>
    <row r="158" spans="1:13" ht="19.05" customHeight="1" x14ac:dyDescent="0.3">
      <c r="A158">
        <v>3387</v>
      </c>
      <c r="B158" t="s">
        <v>177</v>
      </c>
      <c r="C158" t="s">
        <v>19</v>
      </c>
      <c r="D158" s="4">
        <v>45504</v>
      </c>
      <c r="E158" t="s">
        <v>20</v>
      </c>
      <c r="F158" s="5">
        <v>5</v>
      </c>
      <c r="G158" t="s">
        <v>17</v>
      </c>
      <c r="H158" t="s">
        <v>20</v>
      </c>
      <c r="I158" s="5">
        <v>0</v>
      </c>
      <c r="J158" t="s">
        <v>20</v>
      </c>
      <c r="K158" s="5">
        <v>0</v>
      </c>
      <c r="L158" s="5">
        <v>1</v>
      </c>
      <c r="M158" s="5">
        <v>4</v>
      </c>
    </row>
    <row r="159" spans="1:13" ht="19.05" customHeight="1" x14ac:dyDescent="0.3">
      <c r="A159">
        <v>3388</v>
      </c>
      <c r="B159" t="s">
        <v>178</v>
      </c>
      <c r="C159" t="s">
        <v>15</v>
      </c>
      <c r="D159" s="4">
        <v>45505</v>
      </c>
      <c r="E159" t="s">
        <v>16</v>
      </c>
      <c r="F159" s="5">
        <v>15</v>
      </c>
      <c r="G159" t="s">
        <v>21</v>
      </c>
      <c r="H159" t="s">
        <v>16</v>
      </c>
      <c r="I159" s="5">
        <v>30</v>
      </c>
      <c r="J159" t="s">
        <v>16</v>
      </c>
      <c r="K159" s="5">
        <v>20</v>
      </c>
      <c r="L159" s="5">
        <v>3</v>
      </c>
      <c r="M159" s="5">
        <v>62</v>
      </c>
    </row>
    <row r="160" spans="1:13" ht="19.05" customHeight="1" x14ac:dyDescent="0.3">
      <c r="A160">
        <v>3389</v>
      </c>
      <c r="B160" t="s">
        <v>179</v>
      </c>
      <c r="C160" t="s">
        <v>23</v>
      </c>
      <c r="D160" s="4">
        <v>45506</v>
      </c>
      <c r="E160" t="s">
        <v>20</v>
      </c>
      <c r="F160" s="5">
        <v>10</v>
      </c>
      <c r="G160" t="s">
        <v>17</v>
      </c>
      <c r="H160" t="s">
        <v>20</v>
      </c>
      <c r="I160" s="5">
        <v>0</v>
      </c>
      <c r="J160" t="s">
        <v>16</v>
      </c>
      <c r="K160" s="5">
        <v>20</v>
      </c>
      <c r="L160" s="5">
        <v>10</v>
      </c>
      <c r="M160" s="5">
        <v>20</v>
      </c>
    </row>
    <row r="161" spans="1:13" ht="19.05" customHeight="1" x14ac:dyDescent="0.3">
      <c r="A161">
        <v>3390</v>
      </c>
      <c r="B161" t="s">
        <v>180</v>
      </c>
      <c r="C161" t="s">
        <v>19</v>
      </c>
      <c r="D161" s="4">
        <v>45507</v>
      </c>
      <c r="E161" t="s">
        <v>16</v>
      </c>
      <c r="F161" s="5">
        <v>5</v>
      </c>
      <c r="G161" t="s">
        <v>24</v>
      </c>
      <c r="H161" t="s">
        <v>20</v>
      </c>
      <c r="I161" s="5">
        <v>0</v>
      </c>
      <c r="J161" t="s">
        <v>20</v>
      </c>
      <c r="K161" s="5">
        <v>0</v>
      </c>
      <c r="L161" s="5">
        <v>0</v>
      </c>
      <c r="M161" s="5">
        <v>5</v>
      </c>
    </row>
    <row r="162" spans="1:13" ht="19.05" customHeight="1" x14ac:dyDescent="0.3">
      <c r="A162">
        <v>3391</v>
      </c>
      <c r="B162" t="s">
        <v>80</v>
      </c>
      <c r="C162" t="s">
        <v>15</v>
      </c>
      <c r="D162" s="4">
        <v>45508</v>
      </c>
      <c r="E162" t="s">
        <v>20</v>
      </c>
      <c r="F162" s="5">
        <v>15</v>
      </c>
      <c r="G162" t="s">
        <v>17</v>
      </c>
      <c r="H162" t="s">
        <v>16</v>
      </c>
      <c r="I162" s="5">
        <v>30</v>
      </c>
      <c r="J162" t="s">
        <v>16</v>
      </c>
      <c r="K162" s="5">
        <v>20</v>
      </c>
      <c r="L162" s="5">
        <v>15</v>
      </c>
      <c r="M162" s="5">
        <v>50</v>
      </c>
    </row>
    <row r="163" spans="1:13" ht="19.05" customHeight="1" x14ac:dyDescent="0.3">
      <c r="A163">
        <v>3392</v>
      </c>
      <c r="B163" t="s">
        <v>181</v>
      </c>
      <c r="C163" t="s">
        <v>23</v>
      </c>
      <c r="D163" s="4">
        <v>45509</v>
      </c>
      <c r="E163" t="s">
        <v>16</v>
      </c>
      <c r="F163" s="5">
        <v>10</v>
      </c>
      <c r="G163" t="s">
        <v>21</v>
      </c>
      <c r="H163" t="s">
        <v>20</v>
      </c>
      <c r="I163" s="5">
        <v>0</v>
      </c>
      <c r="J163" t="s">
        <v>16</v>
      </c>
      <c r="K163" s="5">
        <v>20</v>
      </c>
      <c r="L163" s="5">
        <v>15</v>
      </c>
      <c r="M163" s="5">
        <v>15</v>
      </c>
    </row>
    <row r="164" spans="1:13" ht="19.05" customHeight="1" x14ac:dyDescent="0.3">
      <c r="A164">
        <v>3393</v>
      </c>
      <c r="B164" t="s">
        <v>182</v>
      </c>
      <c r="C164" t="s">
        <v>19</v>
      </c>
      <c r="D164" s="4">
        <v>45510</v>
      </c>
      <c r="E164" t="s">
        <v>20</v>
      </c>
      <c r="F164" s="5">
        <v>5</v>
      </c>
      <c r="G164" t="s">
        <v>17</v>
      </c>
      <c r="H164" t="s">
        <v>20</v>
      </c>
      <c r="I164" s="5">
        <v>0</v>
      </c>
      <c r="J164" t="s">
        <v>20</v>
      </c>
      <c r="K164" s="5">
        <v>0</v>
      </c>
      <c r="L164" s="5">
        <v>1</v>
      </c>
      <c r="M164" s="5">
        <v>4</v>
      </c>
    </row>
    <row r="165" spans="1:13" ht="19.05" customHeight="1" x14ac:dyDescent="0.3">
      <c r="A165">
        <v>3394</v>
      </c>
      <c r="B165" t="s">
        <v>183</v>
      </c>
      <c r="C165" t="s">
        <v>15</v>
      </c>
      <c r="D165" s="4">
        <v>45511</v>
      </c>
      <c r="E165" t="s">
        <v>16</v>
      </c>
      <c r="F165" s="5">
        <v>15</v>
      </c>
      <c r="G165" t="s">
        <v>24</v>
      </c>
      <c r="H165" t="s">
        <v>16</v>
      </c>
      <c r="I165" s="5">
        <v>30</v>
      </c>
      <c r="J165" t="s">
        <v>16</v>
      </c>
      <c r="K165" s="5">
        <v>20</v>
      </c>
      <c r="L165" s="5">
        <v>7</v>
      </c>
      <c r="M165" s="5">
        <v>58</v>
      </c>
    </row>
    <row r="166" spans="1:13" ht="19.05" customHeight="1" x14ac:dyDescent="0.3">
      <c r="A166">
        <v>3395</v>
      </c>
      <c r="B166" t="s">
        <v>184</v>
      </c>
      <c r="C166" t="s">
        <v>23</v>
      </c>
      <c r="D166" s="4">
        <v>45512</v>
      </c>
      <c r="E166" t="s">
        <v>20</v>
      </c>
      <c r="F166" s="5">
        <v>10</v>
      </c>
      <c r="G166" t="s">
        <v>17</v>
      </c>
      <c r="H166" t="s">
        <v>20</v>
      </c>
      <c r="I166" s="5">
        <v>0</v>
      </c>
      <c r="J166" t="s">
        <v>16</v>
      </c>
      <c r="K166" s="5">
        <v>20</v>
      </c>
      <c r="L166" s="5">
        <v>10</v>
      </c>
      <c r="M166" s="5">
        <v>20</v>
      </c>
    </row>
    <row r="167" spans="1:13" ht="19.05" customHeight="1" x14ac:dyDescent="0.3">
      <c r="A167">
        <v>3396</v>
      </c>
      <c r="B167" t="s">
        <v>185</v>
      </c>
      <c r="C167" t="s">
        <v>19</v>
      </c>
      <c r="D167" s="4">
        <v>45513</v>
      </c>
      <c r="E167" t="s">
        <v>16</v>
      </c>
      <c r="F167" s="5">
        <v>5</v>
      </c>
      <c r="G167" t="s">
        <v>21</v>
      </c>
      <c r="H167" t="s">
        <v>20</v>
      </c>
      <c r="I167" s="5">
        <v>0</v>
      </c>
      <c r="J167" t="s">
        <v>20</v>
      </c>
      <c r="K167" s="5">
        <v>0</v>
      </c>
      <c r="L167" s="5">
        <v>0</v>
      </c>
      <c r="M167" s="5">
        <v>5</v>
      </c>
    </row>
    <row r="168" spans="1:13" ht="19.05" customHeight="1" x14ac:dyDescent="0.3">
      <c r="A168">
        <v>3397</v>
      </c>
      <c r="B168" t="s">
        <v>112</v>
      </c>
      <c r="C168" t="s">
        <v>15</v>
      </c>
      <c r="D168" s="4">
        <v>45514</v>
      </c>
      <c r="E168" t="s">
        <v>20</v>
      </c>
      <c r="F168" s="5">
        <v>15</v>
      </c>
      <c r="G168" t="s">
        <v>17</v>
      </c>
      <c r="H168" t="s">
        <v>16</v>
      </c>
      <c r="I168" s="5">
        <v>30</v>
      </c>
      <c r="J168" t="s">
        <v>16</v>
      </c>
      <c r="K168" s="5">
        <v>20</v>
      </c>
      <c r="L168" s="5">
        <v>20</v>
      </c>
      <c r="M168" s="5">
        <v>45</v>
      </c>
    </row>
    <row r="169" spans="1:13" ht="19.05" customHeight="1" x14ac:dyDescent="0.3">
      <c r="A169">
        <v>3398</v>
      </c>
      <c r="B169" t="s">
        <v>186</v>
      </c>
      <c r="C169" t="s">
        <v>23</v>
      </c>
      <c r="D169" s="4">
        <v>45515</v>
      </c>
      <c r="E169" t="s">
        <v>16</v>
      </c>
      <c r="F169" s="5">
        <v>10</v>
      </c>
      <c r="G169" t="s">
        <v>24</v>
      </c>
      <c r="H169" t="s">
        <v>20</v>
      </c>
      <c r="I169" s="5">
        <v>0</v>
      </c>
      <c r="J169" t="s">
        <v>16</v>
      </c>
      <c r="K169" s="5">
        <v>20</v>
      </c>
      <c r="L169" s="5">
        <v>15</v>
      </c>
      <c r="M169" s="5">
        <v>15</v>
      </c>
    </row>
    <row r="170" spans="1:13" ht="19.05" customHeight="1" x14ac:dyDescent="0.3">
      <c r="A170">
        <v>3399</v>
      </c>
      <c r="B170" t="s">
        <v>187</v>
      </c>
      <c r="C170" t="s">
        <v>19</v>
      </c>
      <c r="D170" s="4">
        <v>45516</v>
      </c>
      <c r="E170" t="s">
        <v>20</v>
      </c>
      <c r="F170" s="5">
        <v>5</v>
      </c>
      <c r="G170" t="s">
        <v>17</v>
      </c>
      <c r="H170" t="s">
        <v>20</v>
      </c>
      <c r="I170" s="5">
        <v>0</v>
      </c>
      <c r="J170" t="s">
        <v>20</v>
      </c>
      <c r="K170" s="5">
        <v>0</v>
      </c>
      <c r="L170" s="5">
        <v>1</v>
      </c>
      <c r="M170" s="5">
        <v>4</v>
      </c>
    </row>
    <row r="171" spans="1:13" ht="19.05" customHeight="1" x14ac:dyDescent="0.3">
      <c r="A171">
        <v>3400</v>
      </c>
      <c r="B171" t="s">
        <v>188</v>
      </c>
      <c r="C171" t="s">
        <v>15</v>
      </c>
      <c r="D171" s="4">
        <v>45517</v>
      </c>
      <c r="E171" t="s">
        <v>16</v>
      </c>
      <c r="F171" s="5">
        <v>15</v>
      </c>
      <c r="G171" t="s">
        <v>21</v>
      </c>
      <c r="H171" t="s">
        <v>16</v>
      </c>
      <c r="I171" s="5">
        <v>30</v>
      </c>
      <c r="J171" t="s">
        <v>16</v>
      </c>
      <c r="K171" s="5">
        <v>20</v>
      </c>
      <c r="L171" s="5">
        <v>5</v>
      </c>
      <c r="M171" s="5">
        <v>60</v>
      </c>
    </row>
    <row r="172" spans="1:13" ht="19.05" customHeight="1" x14ac:dyDescent="0.3">
      <c r="A172">
        <v>3401</v>
      </c>
      <c r="B172" t="s">
        <v>189</v>
      </c>
      <c r="C172" t="s">
        <v>23</v>
      </c>
      <c r="D172" s="4">
        <v>45518</v>
      </c>
      <c r="E172" t="s">
        <v>20</v>
      </c>
      <c r="F172" s="5">
        <v>10</v>
      </c>
      <c r="G172" t="s">
        <v>17</v>
      </c>
      <c r="H172" t="s">
        <v>20</v>
      </c>
      <c r="I172" s="5">
        <v>0</v>
      </c>
      <c r="J172" t="s">
        <v>16</v>
      </c>
      <c r="K172" s="5">
        <v>20</v>
      </c>
      <c r="L172" s="5">
        <v>10</v>
      </c>
      <c r="M172" s="5">
        <v>20</v>
      </c>
    </row>
    <row r="173" spans="1:13" ht="19.05" customHeight="1" x14ac:dyDescent="0.3">
      <c r="A173">
        <v>3402</v>
      </c>
      <c r="B173" t="s">
        <v>190</v>
      </c>
      <c r="C173" t="s">
        <v>19</v>
      </c>
      <c r="D173" s="4">
        <v>45519</v>
      </c>
      <c r="E173" t="s">
        <v>16</v>
      </c>
      <c r="F173" s="5">
        <v>5</v>
      </c>
      <c r="G173" t="s">
        <v>24</v>
      </c>
      <c r="H173" t="s">
        <v>20</v>
      </c>
      <c r="I173" s="5">
        <v>0</v>
      </c>
      <c r="J173" t="s">
        <v>20</v>
      </c>
      <c r="K173" s="5">
        <v>0</v>
      </c>
      <c r="L173" s="5">
        <v>0</v>
      </c>
      <c r="M173" s="5">
        <v>5</v>
      </c>
    </row>
    <row r="174" spans="1:13" ht="19.05" customHeight="1" x14ac:dyDescent="0.3">
      <c r="A174">
        <v>3403</v>
      </c>
      <c r="B174" t="s">
        <v>191</v>
      </c>
      <c r="C174" t="s">
        <v>15</v>
      </c>
      <c r="D174" s="4">
        <v>45520</v>
      </c>
      <c r="E174" t="s">
        <v>20</v>
      </c>
      <c r="F174" s="5">
        <v>15</v>
      </c>
      <c r="G174" t="s">
        <v>17</v>
      </c>
      <c r="H174" t="s">
        <v>16</v>
      </c>
      <c r="I174" s="5">
        <v>30</v>
      </c>
      <c r="J174" t="s">
        <v>16</v>
      </c>
      <c r="K174" s="5">
        <v>20</v>
      </c>
      <c r="L174" s="5">
        <v>3</v>
      </c>
      <c r="M174" s="5">
        <v>62</v>
      </c>
    </row>
    <row r="175" spans="1:13" ht="19.05" customHeight="1" x14ac:dyDescent="0.3">
      <c r="A175">
        <v>3404</v>
      </c>
      <c r="B175" t="s">
        <v>192</v>
      </c>
      <c r="C175" t="s">
        <v>23</v>
      </c>
      <c r="D175" s="4">
        <v>45521</v>
      </c>
      <c r="E175" t="s">
        <v>16</v>
      </c>
      <c r="F175" s="5">
        <v>10</v>
      </c>
      <c r="G175" t="s">
        <v>21</v>
      </c>
      <c r="H175" t="s">
        <v>20</v>
      </c>
      <c r="I175" s="5">
        <v>0</v>
      </c>
      <c r="J175" t="s">
        <v>16</v>
      </c>
      <c r="K175" s="5">
        <v>20</v>
      </c>
      <c r="L175" s="5">
        <v>15</v>
      </c>
      <c r="M175" s="5">
        <v>15</v>
      </c>
    </row>
    <row r="176" spans="1:13" ht="19.05" customHeight="1" x14ac:dyDescent="0.3">
      <c r="A176">
        <v>3405</v>
      </c>
      <c r="B176" t="s">
        <v>193</v>
      </c>
      <c r="C176" t="s">
        <v>19</v>
      </c>
      <c r="D176" s="4">
        <v>45522</v>
      </c>
      <c r="E176" t="s">
        <v>20</v>
      </c>
      <c r="F176" s="5">
        <v>5</v>
      </c>
      <c r="G176" t="s">
        <v>17</v>
      </c>
      <c r="H176" t="s">
        <v>20</v>
      </c>
      <c r="I176" s="5">
        <v>0</v>
      </c>
      <c r="J176" t="s">
        <v>20</v>
      </c>
      <c r="K176" s="5">
        <v>0</v>
      </c>
      <c r="L176" s="5">
        <v>1</v>
      </c>
      <c r="M176" s="5">
        <v>4</v>
      </c>
    </row>
    <row r="177" spans="1:13" ht="19.05" customHeight="1" x14ac:dyDescent="0.3">
      <c r="A177">
        <v>3406</v>
      </c>
      <c r="B177" t="s">
        <v>194</v>
      </c>
      <c r="C177" t="s">
        <v>19</v>
      </c>
      <c r="D177" s="4">
        <v>45523</v>
      </c>
      <c r="E177" t="s">
        <v>16</v>
      </c>
      <c r="F177" s="5">
        <v>5</v>
      </c>
      <c r="G177" t="s">
        <v>17</v>
      </c>
      <c r="H177" t="s">
        <v>20</v>
      </c>
      <c r="I177" s="5">
        <v>0</v>
      </c>
      <c r="J177" t="s">
        <v>20</v>
      </c>
      <c r="K177" s="5">
        <v>0</v>
      </c>
      <c r="L177" s="5">
        <v>0</v>
      </c>
      <c r="M177" s="5">
        <v>5</v>
      </c>
    </row>
    <row r="178" spans="1:13" ht="19.05" customHeight="1" x14ac:dyDescent="0.3">
      <c r="A178">
        <v>3407</v>
      </c>
      <c r="B178" t="s">
        <v>195</v>
      </c>
      <c r="C178" t="s">
        <v>15</v>
      </c>
      <c r="D178" s="4">
        <v>45524</v>
      </c>
      <c r="E178" t="s">
        <v>20</v>
      </c>
      <c r="F178" s="5">
        <v>15</v>
      </c>
      <c r="G178" t="s">
        <v>24</v>
      </c>
      <c r="H178" t="s">
        <v>16</v>
      </c>
      <c r="I178" s="5">
        <v>30</v>
      </c>
      <c r="J178" t="s">
        <v>16</v>
      </c>
      <c r="K178" s="5">
        <v>20</v>
      </c>
      <c r="L178" s="5">
        <v>7</v>
      </c>
      <c r="M178" s="5">
        <v>58</v>
      </c>
    </row>
    <row r="179" spans="1:13" ht="19.05" customHeight="1" x14ac:dyDescent="0.3">
      <c r="A179">
        <v>3408</v>
      </c>
      <c r="B179" t="s">
        <v>196</v>
      </c>
      <c r="C179" t="s">
        <v>23</v>
      </c>
      <c r="D179" s="4">
        <v>45525</v>
      </c>
      <c r="E179" t="s">
        <v>16</v>
      </c>
      <c r="F179" s="5">
        <v>10</v>
      </c>
      <c r="G179" t="s">
        <v>21</v>
      </c>
      <c r="H179" t="s">
        <v>20</v>
      </c>
      <c r="I179" s="5">
        <v>0</v>
      </c>
      <c r="J179" t="s">
        <v>16</v>
      </c>
      <c r="K179" s="5">
        <v>20</v>
      </c>
      <c r="L179" s="5">
        <v>10</v>
      </c>
      <c r="M179" s="5">
        <v>20</v>
      </c>
    </row>
    <row r="180" spans="1:13" ht="19.05" customHeight="1" x14ac:dyDescent="0.3">
      <c r="A180">
        <v>3409</v>
      </c>
      <c r="B180" t="s">
        <v>197</v>
      </c>
      <c r="C180" t="s">
        <v>19</v>
      </c>
      <c r="D180" s="4">
        <v>45526</v>
      </c>
      <c r="E180" t="s">
        <v>20</v>
      </c>
      <c r="F180" s="5">
        <v>5</v>
      </c>
      <c r="G180" t="s">
        <v>24</v>
      </c>
      <c r="H180" t="s">
        <v>20</v>
      </c>
      <c r="I180" s="5">
        <v>0</v>
      </c>
      <c r="J180" t="s">
        <v>20</v>
      </c>
      <c r="K180" s="5">
        <v>0</v>
      </c>
      <c r="L180" s="5">
        <v>1</v>
      </c>
      <c r="M180" s="5">
        <v>4</v>
      </c>
    </row>
    <row r="181" spans="1:13" ht="19.05" customHeight="1" x14ac:dyDescent="0.3">
      <c r="A181">
        <v>3410</v>
      </c>
      <c r="B181" t="s">
        <v>198</v>
      </c>
      <c r="C181" t="s">
        <v>15</v>
      </c>
      <c r="D181" s="4">
        <v>45527</v>
      </c>
      <c r="E181" t="s">
        <v>16</v>
      </c>
      <c r="F181" s="5">
        <v>15</v>
      </c>
      <c r="G181" t="s">
        <v>17</v>
      </c>
      <c r="H181" t="s">
        <v>16</v>
      </c>
      <c r="I181" s="5">
        <v>30</v>
      </c>
      <c r="J181" t="s">
        <v>16</v>
      </c>
      <c r="K181" s="5">
        <v>20</v>
      </c>
      <c r="L181" s="5">
        <v>15</v>
      </c>
      <c r="M181" s="5">
        <v>50</v>
      </c>
    </row>
    <row r="182" spans="1:13" ht="19.05" customHeight="1" x14ac:dyDescent="0.3">
      <c r="A182">
        <v>3411</v>
      </c>
      <c r="B182" t="s">
        <v>199</v>
      </c>
      <c r="C182" t="s">
        <v>23</v>
      </c>
      <c r="D182" s="4">
        <v>45528</v>
      </c>
      <c r="E182" t="s">
        <v>20</v>
      </c>
      <c r="F182" s="5">
        <v>10</v>
      </c>
      <c r="G182" t="s">
        <v>17</v>
      </c>
      <c r="H182" t="s">
        <v>20</v>
      </c>
      <c r="I182" s="5">
        <v>0</v>
      </c>
      <c r="J182" t="s">
        <v>16</v>
      </c>
      <c r="K182" s="5">
        <v>20</v>
      </c>
      <c r="L182" s="5">
        <v>5</v>
      </c>
      <c r="M182" s="5">
        <v>25</v>
      </c>
    </row>
    <row r="183" spans="1:13" ht="19.05" customHeight="1" x14ac:dyDescent="0.3">
      <c r="A183">
        <v>3412</v>
      </c>
      <c r="B183" t="s">
        <v>200</v>
      </c>
      <c r="C183" t="s">
        <v>19</v>
      </c>
      <c r="D183" s="4">
        <v>45529</v>
      </c>
      <c r="E183" t="s">
        <v>16</v>
      </c>
      <c r="F183" s="5">
        <v>5</v>
      </c>
      <c r="G183" t="s">
        <v>21</v>
      </c>
      <c r="H183" t="s">
        <v>20</v>
      </c>
      <c r="I183" s="5">
        <v>0</v>
      </c>
      <c r="J183" t="s">
        <v>20</v>
      </c>
      <c r="K183" s="5">
        <v>0</v>
      </c>
      <c r="L183" s="5">
        <v>0</v>
      </c>
      <c r="M183" s="5">
        <v>5</v>
      </c>
    </row>
    <row r="184" spans="1:13" ht="19.05" customHeight="1" x14ac:dyDescent="0.3">
      <c r="A184">
        <v>3413</v>
      </c>
      <c r="B184" t="s">
        <v>201</v>
      </c>
      <c r="C184" t="s">
        <v>15</v>
      </c>
      <c r="D184" s="4">
        <v>45530</v>
      </c>
      <c r="E184" t="s">
        <v>20</v>
      </c>
      <c r="F184" s="5">
        <v>15</v>
      </c>
      <c r="G184" t="s">
        <v>24</v>
      </c>
      <c r="H184" t="s">
        <v>16</v>
      </c>
      <c r="I184" s="5">
        <v>30</v>
      </c>
      <c r="J184" t="s">
        <v>16</v>
      </c>
      <c r="K184" s="5">
        <v>20</v>
      </c>
      <c r="L184" s="5">
        <v>20</v>
      </c>
      <c r="M184" s="5">
        <v>45</v>
      </c>
    </row>
    <row r="185" spans="1:13" ht="19.05" customHeight="1" x14ac:dyDescent="0.3">
      <c r="A185">
        <v>3414</v>
      </c>
      <c r="B185" t="s">
        <v>202</v>
      </c>
      <c r="C185" t="s">
        <v>23</v>
      </c>
      <c r="D185" s="4">
        <v>45531</v>
      </c>
      <c r="E185" t="s">
        <v>16</v>
      </c>
      <c r="F185" s="5">
        <v>10</v>
      </c>
      <c r="G185" t="s">
        <v>24</v>
      </c>
      <c r="H185" t="s">
        <v>20</v>
      </c>
      <c r="I185" s="5">
        <v>0</v>
      </c>
      <c r="J185" t="s">
        <v>16</v>
      </c>
      <c r="K185" s="5">
        <v>20</v>
      </c>
      <c r="L185" s="5">
        <v>12</v>
      </c>
      <c r="M185" s="5">
        <v>18</v>
      </c>
    </row>
    <row r="186" spans="1:13" ht="19.05" customHeight="1" x14ac:dyDescent="0.3">
      <c r="A186">
        <v>3415</v>
      </c>
      <c r="B186" t="s">
        <v>203</v>
      </c>
      <c r="C186" t="s">
        <v>19</v>
      </c>
      <c r="D186" s="4">
        <v>45532</v>
      </c>
      <c r="E186" t="s">
        <v>20</v>
      </c>
      <c r="F186" s="5">
        <v>5</v>
      </c>
      <c r="G186" t="s">
        <v>17</v>
      </c>
      <c r="H186" t="s">
        <v>20</v>
      </c>
      <c r="I186" s="5">
        <v>0</v>
      </c>
      <c r="J186" t="s">
        <v>20</v>
      </c>
      <c r="K186" s="5">
        <v>0</v>
      </c>
      <c r="L186" s="5">
        <v>2</v>
      </c>
      <c r="M186" s="5">
        <v>3</v>
      </c>
    </row>
    <row r="187" spans="1:13" ht="19.05" customHeight="1" x14ac:dyDescent="0.3">
      <c r="A187">
        <v>3416</v>
      </c>
      <c r="B187" t="s">
        <v>204</v>
      </c>
      <c r="C187" t="s">
        <v>15</v>
      </c>
      <c r="D187" s="4">
        <v>45533</v>
      </c>
      <c r="E187" t="s">
        <v>16</v>
      </c>
      <c r="F187" s="5">
        <v>15</v>
      </c>
      <c r="G187" t="s">
        <v>21</v>
      </c>
      <c r="H187" t="s">
        <v>16</v>
      </c>
      <c r="I187" s="5">
        <v>30</v>
      </c>
      <c r="J187" t="s">
        <v>16</v>
      </c>
      <c r="K187" s="5">
        <v>20</v>
      </c>
      <c r="L187" s="5">
        <v>5</v>
      </c>
      <c r="M187" s="5">
        <v>60</v>
      </c>
    </row>
    <row r="188" spans="1:13" ht="19.05" customHeight="1" x14ac:dyDescent="0.3">
      <c r="A188">
        <v>3417</v>
      </c>
      <c r="B188" t="s">
        <v>205</v>
      </c>
      <c r="C188" t="s">
        <v>23</v>
      </c>
      <c r="D188" s="4">
        <v>45534</v>
      </c>
      <c r="E188" t="s">
        <v>20</v>
      </c>
      <c r="F188" s="5">
        <v>10</v>
      </c>
      <c r="G188" t="s">
        <v>17</v>
      </c>
      <c r="H188" t="s">
        <v>20</v>
      </c>
      <c r="I188" s="5">
        <v>0</v>
      </c>
      <c r="J188" t="s">
        <v>16</v>
      </c>
      <c r="K188" s="5">
        <v>20</v>
      </c>
      <c r="L188" s="5">
        <v>10</v>
      </c>
      <c r="M188" s="5">
        <v>20</v>
      </c>
    </row>
    <row r="189" spans="1:13" ht="19.05" customHeight="1" x14ac:dyDescent="0.3">
      <c r="A189">
        <v>3418</v>
      </c>
      <c r="B189" t="s">
        <v>206</v>
      </c>
      <c r="C189" t="s">
        <v>19</v>
      </c>
      <c r="D189" s="4">
        <v>45535</v>
      </c>
      <c r="E189" t="s">
        <v>16</v>
      </c>
      <c r="F189" s="5">
        <v>5</v>
      </c>
      <c r="G189" t="s">
        <v>24</v>
      </c>
      <c r="H189" t="s">
        <v>20</v>
      </c>
      <c r="I189" s="5">
        <v>0</v>
      </c>
      <c r="J189" t="s">
        <v>20</v>
      </c>
      <c r="K189" s="5">
        <v>0</v>
      </c>
      <c r="L189" s="5">
        <v>0</v>
      </c>
      <c r="M189" s="5">
        <v>5</v>
      </c>
    </row>
    <row r="190" spans="1:13" ht="19.05" customHeight="1" x14ac:dyDescent="0.3">
      <c r="A190">
        <v>3419</v>
      </c>
      <c r="B190" t="s">
        <v>207</v>
      </c>
      <c r="C190" t="s">
        <v>15</v>
      </c>
      <c r="D190" s="4">
        <v>45536</v>
      </c>
      <c r="E190" t="s">
        <v>20</v>
      </c>
      <c r="F190" s="5">
        <v>15</v>
      </c>
      <c r="G190" t="s">
        <v>17</v>
      </c>
      <c r="H190" t="s">
        <v>16</v>
      </c>
      <c r="I190" s="5">
        <v>30</v>
      </c>
      <c r="J190" t="s">
        <v>16</v>
      </c>
      <c r="K190" s="5">
        <v>20</v>
      </c>
      <c r="L190" s="5">
        <v>3</v>
      </c>
      <c r="M190" s="5">
        <v>62</v>
      </c>
    </row>
    <row r="191" spans="1:13" ht="19.05" customHeight="1" x14ac:dyDescent="0.3">
      <c r="A191">
        <v>3420</v>
      </c>
      <c r="B191" t="s">
        <v>208</v>
      </c>
      <c r="C191" t="s">
        <v>23</v>
      </c>
      <c r="D191" s="4">
        <v>45537</v>
      </c>
      <c r="E191" t="s">
        <v>16</v>
      </c>
      <c r="F191" s="5">
        <v>10</v>
      </c>
      <c r="G191" t="s">
        <v>21</v>
      </c>
      <c r="H191" t="s">
        <v>20</v>
      </c>
      <c r="I191" s="5">
        <v>0</v>
      </c>
      <c r="J191" t="s">
        <v>16</v>
      </c>
      <c r="K191" s="5">
        <v>20</v>
      </c>
      <c r="L191" s="5">
        <v>15</v>
      </c>
      <c r="M191" s="5">
        <v>15</v>
      </c>
    </row>
    <row r="192" spans="1:13" ht="19.05" customHeight="1" x14ac:dyDescent="0.3">
      <c r="A192">
        <v>3421</v>
      </c>
      <c r="B192" t="s">
        <v>37</v>
      </c>
      <c r="C192" t="s">
        <v>19</v>
      </c>
      <c r="D192" s="4">
        <v>45538</v>
      </c>
      <c r="E192" t="s">
        <v>20</v>
      </c>
      <c r="F192" s="5">
        <v>5</v>
      </c>
      <c r="G192" t="s">
        <v>17</v>
      </c>
      <c r="H192" t="s">
        <v>20</v>
      </c>
      <c r="I192" s="5">
        <v>0</v>
      </c>
      <c r="J192" t="s">
        <v>20</v>
      </c>
      <c r="K192" s="5">
        <v>0</v>
      </c>
      <c r="L192" s="5">
        <v>1</v>
      </c>
      <c r="M192" s="5">
        <v>4</v>
      </c>
    </row>
    <row r="193" spans="1:13" ht="19.05" customHeight="1" x14ac:dyDescent="0.3">
      <c r="A193">
        <v>3422</v>
      </c>
      <c r="B193" t="s">
        <v>209</v>
      </c>
      <c r="C193" t="s">
        <v>15</v>
      </c>
      <c r="D193" s="4">
        <v>45539</v>
      </c>
      <c r="E193" t="s">
        <v>16</v>
      </c>
      <c r="F193" s="5">
        <v>15</v>
      </c>
      <c r="G193" t="s">
        <v>24</v>
      </c>
      <c r="H193" t="s">
        <v>16</v>
      </c>
      <c r="I193" s="5">
        <v>30</v>
      </c>
      <c r="J193" t="s">
        <v>16</v>
      </c>
      <c r="K193" s="5">
        <v>20</v>
      </c>
      <c r="L193" s="5">
        <v>7</v>
      </c>
      <c r="M193" s="5">
        <v>58</v>
      </c>
    </row>
    <row r="194" spans="1:13" ht="19.05" customHeight="1" x14ac:dyDescent="0.3">
      <c r="A194">
        <v>3423</v>
      </c>
      <c r="B194" t="s">
        <v>210</v>
      </c>
      <c r="C194" t="s">
        <v>23</v>
      </c>
      <c r="D194" s="4">
        <v>45540</v>
      </c>
      <c r="E194" t="s">
        <v>20</v>
      </c>
      <c r="F194" s="5">
        <v>10</v>
      </c>
      <c r="G194" t="s">
        <v>17</v>
      </c>
      <c r="H194" t="s">
        <v>20</v>
      </c>
      <c r="I194" s="5">
        <v>0</v>
      </c>
      <c r="J194" t="s">
        <v>16</v>
      </c>
      <c r="K194" s="5">
        <v>20</v>
      </c>
      <c r="L194" s="5">
        <v>10</v>
      </c>
      <c r="M194" s="5">
        <v>20</v>
      </c>
    </row>
    <row r="195" spans="1:13" ht="19.05" customHeight="1" x14ac:dyDescent="0.3">
      <c r="A195">
        <v>3424</v>
      </c>
      <c r="B195" t="s">
        <v>36</v>
      </c>
      <c r="C195" t="s">
        <v>19</v>
      </c>
      <c r="D195" s="4">
        <v>45541</v>
      </c>
      <c r="E195" t="s">
        <v>16</v>
      </c>
      <c r="F195" s="5">
        <v>5</v>
      </c>
      <c r="G195" t="s">
        <v>21</v>
      </c>
      <c r="H195" t="s">
        <v>20</v>
      </c>
      <c r="I195" s="5">
        <v>0</v>
      </c>
      <c r="J195" t="s">
        <v>20</v>
      </c>
      <c r="K195" s="5">
        <v>0</v>
      </c>
      <c r="L195" s="5">
        <v>0</v>
      </c>
      <c r="M195" s="5">
        <v>5</v>
      </c>
    </row>
    <row r="196" spans="1:13" ht="19.05" customHeight="1" x14ac:dyDescent="0.3">
      <c r="A196">
        <v>3425</v>
      </c>
      <c r="B196" t="s">
        <v>211</v>
      </c>
      <c r="C196" t="s">
        <v>15</v>
      </c>
      <c r="D196" s="4">
        <v>45542</v>
      </c>
      <c r="E196" t="s">
        <v>20</v>
      </c>
      <c r="F196" s="5">
        <v>15</v>
      </c>
      <c r="G196" t="s">
        <v>17</v>
      </c>
      <c r="H196" t="s">
        <v>16</v>
      </c>
      <c r="I196" s="5">
        <v>30</v>
      </c>
      <c r="J196" t="s">
        <v>16</v>
      </c>
      <c r="K196" s="5">
        <v>20</v>
      </c>
      <c r="L196" s="5">
        <v>20</v>
      </c>
      <c r="M196" s="5">
        <v>45</v>
      </c>
    </row>
    <row r="197" spans="1:13" ht="19.05" customHeight="1" x14ac:dyDescent="0.3">
      <c r="A197">
        <v>3426</v>
      </c>
      <c r="B197" t="s">
        <v>189</v>
      </c>
      <c r="C197" t="s">
        <v>23</v>
      </c>
      <c r="D197" s="4">
        <v>45543</v>
      </c>
      <c r="E197" t="s">
        <v>16</v>
      </c>
      <c r="F197" s="5">
        <v>10</v>
      </c>
      <c r="G197" t="s">
        <v>24</v>
      </c>
      <c r="H197" t="s">
        <v>20</v>
      </c>
      <c r="I197" s="5">
        <v>0</v>
      </c>
      <c r="J197" t="s">
        <v>16</v>
      </c>
      <c r="K197" s="5">
        <v>20</v>
      </c>
      <c r="L197" s="5">
        <v>15</v>
      </c>
      <c r="M197" s="5">
        <v>15</v>
      </c>
    </row>
    <row r="198" spans="1:13" ht="19.05" customHeight="1" x14ac:dyDescent="0.3">
      <c r="A198">
        <v>3427</v>
      </c>
      <c r="B198" t="s">
        <v>212</v>
      </c>
      <c r="C198" t="s">
        <v>19</v>
      </c>
      <c r="D198" s="4">
        <v>45544</v>
      </c>
      <c r="E198" t="s">
        <v>20</v>
      </c>
      <c r="F198" s="5">
        <v>5</v>
      </c>
      <c r="G198" t="s">
        <v>17</v>
      </c>
      <c r="H198" t="s">
        <v>20</v>
      </c>
      <c r="I198" s="5">
        <v>0</v>
      </c>
      <c r="J198" t="s">
        <v>20</v>
      </c>
      <c r="K198" s="5">
        <v>0</v>
      </c>
      <c r="L198" s="5">
        <v>1</v>
      </c>
      <c r="M198" s="5">
        <v>4</v>
      </c>
    </row>
    <row r="199" spans="1:13" ht="19.05" customHeight="1" x14ac:dyDescent="0.3">
      <c r="A199">
        <v>3428</v>
      </c>
      <c r="B199" t="s">
        <v>213</v>
      </c>
      <c r="C199" t="s">
        <v>15</v>
      </c>
      <c r="D199" s="4">
        <v>45545</v>
      </c>
      <c r="E199" t="s">
        <v>16</v>
      </c>
      <c r="F199" s="5">
        <v>15</v>
      </c>
      <c r="G199" t="s">
        <v>21</v>
      </c>
      <c r="H199" t="s">
        <v>16</v>
      </c>
      <c r="I199" s="5">
        <v>30</v>
      </c>
      <c r="J199" t="s">
        <v>16</v>
      </c>
      <c r="K199" s="5">
        <v>20</v>
      </c>
      <c r="L199" s="5">
        <v>3</v>
      </c>
      <c r="M199" s="5">
        <v>62</v>
      </c>
    </row>
    <row r="200" spans="1:13" ht="19.05" customHeight="1" x14ac:dyDescent="0.3">
      <c r="A200">
        <v>3429</v>
      </c>
      <c r="B200" t="s">
        <v>214</v>
      </c>
      <c r="C200" t="s">
        <v>23</v>
      </c>
      <c r="D200" s="4">
        <v>45546</v>
      </c>
      <c r="E200" t="s">
        <v>20</v>
      </c>
      <c r="F200" s="5">
        <v>10</v>
      </c>
      <c r="G200" t="s">
        <v>17</v>
      </c>
      <c r="H200" t="s">
        <v>20</v>
      </c>
      <c r="I200" s="5">
        <v>0</v>
      </c>
      <c r="J200" t="s">
        <v>16</v>
      </c>
      <c r="K200" s="5">
        <v>20</v>
      </c>
      <c r="L200" s="5">
        <v>10</v>
      </c>
      <c r="M200" s="5">
        <v>20</v>
      </c>
    </row>
    <row r="201" spans="1:13" ht="19.05" customHeight="1" x14ac:dyDescent="0.3">
      <c r="A201">
        <v>3430</v>
      </c>
      <c r="B201" t="s">
        <v>215</v>
      </c>
      <c r="C201" t="s">
        <v>19</v>
      </c>
      <c r="D201" s="4">
        <v>45547</v>
      </c>
      <c r="E201" t="s">
        <v>16</v>
      </c>
      <c r="F201" s="5">
        <v>5</v>
      </c>
      <c r="G201" t="s">
        <v>24</v>
      </c>
      <c r="H201" t="s">
        <v>20</v>
      </c>
      <c r="I201" s="5">
        <v>0</v>
      </c>
      <c r="J201" t="s">
        <v>20</v>
      </c>
      <c r="K201" s="5">
        <v>0</v>
      </c>
      <c r="L201" s="5">
        <v>0</v>
      </c>
      <c r="M201" s="5">
        <v>5</v>
      </c>
    </row>
    <row r="202" spans="1:13" ht="19.05" customHeight="1" x14ac:dyDescent="0.3">
      <c r="A202">
        <v>3431</v>
      </c>
      <c r="B202" t="s">
        <v>216</v>
      </c>
      <c r="C202" t="s">
        <v>15</v>
      </c>
      <c r="D202" s="4">
        <v>45548</v>
      </c>
      <c r="E202" t="s">
        <v>20</v>
      </c>
      <c r="F202" s="5">
        <v>15</v>
      </c>
      <c r="G202" t="s">
        <v>17</v>
      </c>
      <c r="H202" t="s">
        <v>16</v>
      </c>
      <c r="I202" s="5">
        <v>30</v>
      </c>
      <c r="J202" t="s">
        <v>16</v>
      </c>
      <c r="K202" s="5">
        <v>20</v>
      </c>
      <c r="L202" s="5">
        <v>15</v>
      </c>
      <c r="M202" s="5">
        <v>50</v>
      </c>
    </row>
    <row r="203" spans="1:13" ht="19.05" customHeight="1" x14ac:dyDescent="0.3">
      <c r="A203">
        <v>3432</v>
      </c>
      <c r="B203" t="s">
        <v>217</v>
      </c>
      <c r="C203" t="s">
        <v>23</v>
      </c>
      <c r="D203" s="4">
        <v>45549</v>
      </c>
      <c r="E203" t="s">
        <v>16</v>
      </c>
      <c r="F203" s="5">
        <v>10</v>
      </c>
      <c r="G203" t="s">
        <v>21</v>
      </c>
      <c r="H203" t="s">
        <v>20</v>
      </c>
      <c r="I203" s="5">
        <v>0</v>
      </c>
      <c r="J203" t="s">
        <v>16</v>
      </c>
      <c r="K203" s="5">
        <v>20</v>
      </c>
      <c r="L203" s="5">
        <v>15</v>
      </c>
      <c r="M203" s="5">
        <v>15</v>
      </c>
    </row>
    <row r="204" spans="1:13" ht="19.05" customHeight="1" x14ac:dyDescent="0.3">
      <c r="A204">
        <v>3433</v>
      </c>
      <c r="B204" t="s">
        <v>218</v>
      </c>
      <c r="C204" t="s">
        <v>19</v>
      </c>
      <c r="D204" s="4">
        <v>45550</v>
      </c>
      <c r="E204" t="s">
        <v>20</v>
      </c>
      <c r="F204" s="5">
        <v>5</v>
      </c>
      <c r="G204" t="s">
        <v>17</v>
      </c>
      <c r="H204" t="s">
        <v>20</v>
      </c>
      <c r="I204" s="5">
        <v>0</v>
      </c>
      <c r="J204" t="s">
        <v>20</v>
      </c>
      <c r="K204" s="5">
        <v>0</v>
      </c>
      <c r="L204" s="5">
        <v>1</v>
      </c>
      <c r="M204" s="5">
        <v>4</v>
      </c>
    </row>
    <row r="205" spans="1:13" ht="19.05" customHeight="1" x14ac:dyDescent="0.3">
      <c r="A205">
        <v>3434</v>
      </c>
      <c r="B205" t="s">
        <v>219</v>
      </c>
      <c r="C205" t="s">
        <v>15</v>
      </c>
      <c r="D205" s="4">
        <v>45551</v>
      </c>
      <c r="E205" t="s">
        <v>16</v>
      </c>
      <c r="F205" s="5">
        <v>15</v>
      </c>
      <c r="G205" t="s">
        <v>24</v>
      </c>
      <c r="H205" t="s">
        <v>16</v>
      </c>
      <c r="I205" s="5">
        <v>30</v>
      </c>
      <c r="J205" t="s">
        <v>16</v>
      </c>
      <c r="K205" s="5">
        <v>20</v>
      </c>
      <c r="L205" s="5">
        <v>7</v>
      </c>
      <c r="M205" s="5">
        <v>58</v>
      </c>
    </row>
    <row r="206" spans="1:13" ht="19.05" customHeight="1" x14ac:dyDescent="0.3">
      <c r="A206">
        <v>3435</v>
      </c>
      <c r="B206" t="s">
        <v>220</v>
      </c>
      <c r="C206" t="s">
        <v>23</v>
      </c>
      <c r="D206" s="4">
        <v>45552</v>
      </c>
      <c r="E206" t="s">
        <v>20</v>
      </c>
      <c r="F206" s="5">
        <v>10</v>
      </c>
      <c r="G206" t="s">
        <v>17</v>
      </c>
      <c r="H206" t="s">
        <v>20</v>
      </c>
      <c r="I206" s="5">
        <v>0</v>
      </c>
      <c r="J206" t="s">
        <v>16</v>
      </c>
      <c r="K206" s="5">
        <v>20</v>
      </c>
      <c r="L206" s="5">
        <v>10</v>
      </c>
      <c r="M206" s="5">
        <v>20</v>
      </c>
    </row>
    <row r="207" spans="1:13" ht="19.05" customHeight="1" x14ac:dyDescent="0.3">
      <c r="A207">
        <v>3436</v>
      </c>
      <c r="B207" t="s">
        <v>221</v>
      </c>
      <c r="C207" t="s">
        <v>19</v>
      </c>
      <c r="D207" s="4">
        <v>45553</v>
      </c>
      <c r="E207" t="s">
        <v>16</v>
      </c>
      <c r="F207" s="5">
        <v>5</v>
      </c>
      <c r="G207" t="s">
        <v>17</v>
      </c>
      <c r="H207" t="s">
        <v>20</v>
      </c>
      <c r="I207" s="5">
        <v>0</v>
      </c>
      <c r="J207" t="s">
        <v>20</v>
      </c>
      <c r="K207" s="5">
        <v>0</v>
      </c>
      <c r="L207" s="5">
        <v>0</v>
      </c>
      <c r="M207" s="5">
        <v>5</v>
      </c>
    </row>
    <row r="208" spans="1:13" ht="19.05" customHeight="1" x14ac:dyDescent="0.3">
      <c r="A208">
        <v>3437</v>
      </c>
      <c r="B208" t="s">
        <v>222</v>
      </c>
      <c r="C208" t="s">
        <v>15</v>
      </c>
      <c r="D208" s="4">
        <v>45554</v>
      </c>
      <c r="E208" t="s">
        <v>20</v>
      </c>
      <c r="F208" s="5">
        <v>15</v>
      </c>
      <c r="G208" t="s">
        <v>24</v>
      </c>
      <c r="H208" t="s">
        <v>16</v>
      </c>
      <c r="I208" s="5">
        <v>30</v>
      </c>
      <c r="J208" t="s">
        <v>16</v>
      </c>
      <c r="K208" s="5">
        <v>20</v>
      </c>
      <c r="L208" s="5">
        <v>7</v>
      </c>
      <c r="M208" s="5">
        <v>58</v>
      </c>
    </row>
    <row r="209" spans="1:13" ht="19.05" customHeight="1" x14ac:dyDescent="0.3">
      <c r="A209">
        <v>3438</v>
      </c>
      <c r="B209" t="s">
        <v>223</v>
      </c>
      <c r="C209" t="s">
        <v>23</v>
      </c>
      <c r="D209" s="4">
        <v>45555</v>
      </c>
      <c r="E209" t="s">
        <v>16</v>
      </c>
      <c r="F209" s="5">
        <v>10</v>
      </c>
      <c r="G209" t="s">
        <v>21</v>
      </c>
      <c r="H209" t="s">
        <v>20</v>
      </c>
      <c r="I209" s="5">
        <v>0</v>
      </c>
      <c r="J209" t="s">
        <v>16</v>
      </c>
      <c r="K209" s="5">
        <v>20</v>
      </c>
      <c r="L209" s="5">
        <v>10</v>
      </c>
      <c r="M209" s="5">
        <v>20</v>
      </c>
    </row>
    <row r="210" spans="1:13" ht="19.05" customHeight="1" x14ac:dyDescent="0.3">
      <c r="A210">
        <v>3439</v>
      </c>
      <c r="B210" t="s">
        <v>224</v>
      </c>
      <c r="C210" t="s">
        <v>19</v>
      </c>
      <c r="D210" s="4">
        <v>45556</v>
      </c>
      <c r="E210" t="s">
        <v>20</v>
      </c>
      <c r="F210" s="5">
        <v>5</v>
      </c>
      <c r="G210" t="s">
        <v>24</v>
      </c>
      <c r="H210" t="s">
        <v>20</v>
      </c>
      <c r="I210" s="5">
        <v>0</v>
      </c>
      <c r="J210" t="s">
        <v>20</v>
      </c>
      <c r="K210" s="5">
        <v>0</v>
      </c>
      <c r="L210" s="5">
        <v>1</v>
      </c>
      <c r="M210" s="5">
        <v>4</v>
      </c>
    </row>
    <row r="211" spans="1:13" ht="19.05" customHeight="1" x14ac:dyDescent="0.3">
      <c r="A211">
        <v>3440</v>
      </c>
      <c r="B211" t="s">
        <v>225</v>
      </c>
      <c r="C211" t="s">
        <v>15</v>
      </c>
      <c r="D211" s="4">
        <v>45557</v>
      </c>
      <c r="E211" t="s">
        <v>16</v>
      </c>
      <c r="F211" s="5">
        <v>15</v>
      </c>
      <c r="G211" t="s">
        <v>17</v>
      </c>
      <c r="H211" t="s">
        <v>16</v>
      </c>
      <c r="I211" s="5">
        <v>30</v>
      </c>
      <c r="J211" t="s">
        <v>16</v>
      </c>
      <c r="K211" s="5">
        <v>20</v>
      </c>
      <c r="L211" s="5">
        <v>15</v>
      </c>
      <c r="M211" s="5">
        <v>50</v>
      </c>
    </row>
    <row r="212" spans="1:13" ht="19.05" customHeight="1" x14ac:dyDescent="0.3">
      <c r="A212">
        <v>3441</v>
      </c>
      <c r="B212" t="s">
        <v>226</v>
      </c>
      <c r="C212" t="s">
        <v>23</v>
      </c>
      <c r="D212" s="4">
        <v>45558</v>
      </c>
      <c r="E212" t="s">
        <v>20</v>
      </c>
      <c r="F212" s="5">
        <v>10</v>
      </c>
      <c r="G212" t="s">
        <v>17</v>
      </c>
      <c r="H212" t="s">
        <v>20</v>
      </c>
      <c r="I212" s="5">
        <v>0</v>
      </c>
      <c r="J212" t="s">
        <v>16</v>
      </c>
      <c r="K212" s="5">
        <v>20</v>
      </c>
      <c r="L212" s="5">
        <v>5</v>
      </c>
      <c r="M212" s="5">
        <v>25</v>
      </c>
    </row>
    <row r="213" spans="1:13" ht="19.05" customHeight="1" x14ac:dyDescent="0.3">
      <c r="A213">
        <v>3442</v>
      </c>
      <c r="B213" t="s">
        <v>227</v>
      </c>
      <c r="C213" t="s">
        <v>19</v>
      </c>
      <c r="D213" s="4">
        <v>45559</v>
      </c>
      <c r="E213" t="s">
        <v>16</v>
      </c>
      <c r="F213" s="5">
        <v>5</v>
      </c>
      <c r="G213" t="s">
        <v>21</v>
      </c>
      <c r="H213" t="s">
        <v>20</v>
      </c>
      <c r="I213" s="5">
        <v>0</v>
      </c>
      <c r="J213" t="s">
        <v>20</v>
      </c>
      <c r="K213" s="5">
        <v>0</v>
      </c>
      <c r="L213" s="5">
        <v>0</v>
      </c>
      <c r="M213" s="5">
        <v>5</v>
      </c>
    </row>
    <row r="214" spans="1:13" ht="19.05" customHeight="1" x14ac:dyDescent="0.3">
      <c r="A214">
        <v>3443</v>
      </c>
      <c r="B214" t="s">
        <v>228</v>
      </c>
      <c r="C214" t="s">
        <v>15</v>
      </c>
      <c r="D214" s="4">
        <v>45560</v>
      </c>
      <c r="E214" t="s">
        <v>20</v>
      </c>
      <c r="F214" s="5">
        <v>15</v>
      </c>
      <c r="G214" t="s">
        <v>24</v>
      </c>
      <c r="H214" t="s">
        <v>16</v>
      </c>
      <c r="I214" s="5">
        <v>30</v>
      </c>
      <c r="J214" t="s">
        <v>16</v>
      </c>
      <c r="K214" s="5">
        <v>20</v>
      </c>
      <c r="L214" s="5">
        <v>20</v>
      </c>
      <c r="M214" s="5">
        <v>45</v>
      </c>
    </row>
    <row r="215" spans="1:13" ht="19.05" customHeight="1" x14ac:dyDescent="0.3">
      <c r="A215">
        <v>3444</v>
      </c>
      <c r="B215" t="s">
        <v>229</v>
      </c>
      <c r="C215" t="s">
        <v>23</v>
      </c>
      <c r="D215" s="4">
        <v>45561</v>
      </c>
      <c r="E215" t="s">
        <v>16</v>
      </c>
      <c r="F215" s="5">
        <v>10</v>
      </c>
      <c r="G215" t="s">
        <v>24</v>
      </c>
      <c r="H215" t="s">
        <v>20</v>
      </c>
      <c r="I215" s="5">
        <v>0</v>
      </c>
      <c r="J215" t="s">
        <v>16</v>
      </c>
      <c r="K215" s="5">
        <v>20</v>
      </c>
      <c r="L215" s="5">
        <v>12</v>
      </c>
      <c r="M215" s="5">
        <v>18</v>
      </c>
    </row>
    <row r="216" spans="1:13" ht="19.05" customHeight="1" x14ac:dyDescent="0.3">
      <c r="A216">
        <v>3445</v>
      </c>
      <c r="B216" t="s">
        <v>59</v>
      </c>
      <c r="C216" t="s">
        <v>19</v>
      </c>
      <c r="D216" s="4">
        <v>45562</v>
      </c>
      <c r="E216" t="s">
        <v>20</v>
      </c>
      <c r="F216" s="5">
        <v>5</v>
      </c>
      <c r="G216" t="s">
        <v>17</v>
      </c>
      <c r="H216" t="s">
        <v>20</v>
      </c>
      <c r="I216" s="5">
        <v>0</v>
      </c>
      <c r="J216" t="s">
        <v>20</v>
      </c>
      <c r="K216" s="5">
        <v>0</v>
      </c>
      <c r="L216" s="5">
        <v>2</v>
      </c>
      <c r="M216" s="5">
        <v>3</v>
      </c>
    </row>
    <row r="217" spans="1:13" ht="19.05" customHeight="1" x14ac:dyDescent="0.3">
      <c r="A217">
        <v>3446</v>
      </c>
      <c r="B217" t="s">
        <v>230</v>
      </c>
      <c r="C217" t="s">
        <v>15</v>
      </c>
      <c r="D217" s="4">
        <v>45563</v>
      </c>
      <c r="E217" t="s">
        <v>16</v>
      </c>
      <c r="F217" s="5">
        <v>15</v>
      </c>
      <c r="G217" t="s">
        <v>21</v>
      </c>
      <c r="H217" t="s">
        <v>16</v>
      </c>
      <c r="I217" s="5">
        <v>30</v>
      </c>
      <c r="J217" t="s">
        <v>16</v>
      </c>
      <c r="K217" s="5">
        <v>20</v>
      </c>
      <c r="L217" s="5">
        <v>5</v>
      </c>
      <c r="M217" s="5">
        <v>60</v>
      </c>
    </row>
    <row r="218" spans="1:13" ht="19.05" customHeight="1" x14ac:dyDescent="0.3">
      <c r="A218">
        <v>3447</v>
      </c>
      <c r="B218" t="s">
        <v>231</v>
      </c>
      <c r="C218" t="s">
        <v>23</v>
      </c>
      <c r="D218" s="4">
        <v>45564</v>
      </c>
      <c r="E218" t="s">
        <v>20</v>
      </c>
      <c r="F218" s="5">
        <v>10</v>
      </c>
      <c r="G218" t="s">
        <v>17</v>
      </c>
      <c r="H218" t="s">
        <v>20</v>
      </c>
      <c r="I218" s="5">
        <v>0</v>
      </c>
      <c r="J218" t="s">
        <v>16</v>
      </c>
      <c r="K218" s="5">
        <v>20</v>
      </c>
      <c r="L218" s="5">
        <v>10</v>
      </c>
      <c r="M218" s="5">
        <v>20</v>
      </c>
    </row>
    <row r="219" spans="1:13" ht="19.05" customHeight="1" x14ac:dyDescent="0.3">
      <c r="A219">
        <v>3448</v>
      </c>
      <c r="B219" t="s">
        <v>232</v>
      </c>
      <c r="C219" t="s">
        <v>19</v>
      </c>
      <c r="D219" s="4">
        <v>45565</v>
      </c>
      <c r="E219" t="s">
        <v>16</v>
      </c>
      <c r="F219" s="5">
        <v>5</v>
      </c>
      <c r="G219" t="s">
        <v>24</v>
      </c>
      <c r="H219" t="s">
        <v>20</v>
      </c>
      <c r="I219" s="5">
        <v>0</v>
      </c>
      <c r="J219" t="s">
        <v>20</v>
      </c>
      <c r="K219" s="5">
        <v>0</v>
      </c>
      <c r="L219" s="5">
        <v>0</v>
      </c>
      <c r="M219" s="5">
        <v>5</v>
      </c>
    </row>
    <row r="220" spans="1:13" ht="19.05" customHeight="1" x14ac:dyDescent="0.3">
      <c r="A220">
        <v>3449</v>
      </c>
      <c r="B220" t="s">
        <v>233</v>
      </c>
      <c r="C220" t="s">
        <v>15</v>
      </c>
      <c r="D220" s="4">
        <v>45566</v>
      </c>
      <c r="E220" t="s">
        <v>20</v>
      </c>
      <c r="F220" s="5">
        <v>15</v>
      </c>
      <c r="G220" t="s">
        <v>17</v>
      </c>
      <c r="H220" t="s">
        <v>16</v>
      </c>
      <c r="I220" s="5">
        <v>30</v>
      </c>
      <c r="J220" t="s">
        <v>16</v>
      </c>
      <c r="K220" s="5">
        <v>20</v>
      </c>
      <c r="L220" s="5">
        <v>3</v>
      </c>
      <c r="M220" s="5">
        <v>62</v>
      </c>
    </row>
    <row r="221" spans="1:13" ht="19.05" customHeight="1" x14ac:dyDescent="0.3">
      <c r="A221">
        <v>3450</v>
      </c>
      <c r="B221" t="s">
        <v>234</v>
      </c>
      <c r="C221" t="s">
        <v>23</v>
      </c>
      <c r="D221" s="4">
        <v>45567</v>
      </c>
      <c r="E221" t="s">
        <v>16</v>
      </c>
      <c r="F221" s="5">
        <v>10</v>
      </c>
      <c r="G221" t="s">
        <v>21</v>
      </c>
      <c r="H221" t="s">
        <v>20</v>
      </c>
      <c r="I221" s="5">
        <v>0</v>
      </c>
      <c r="J221" t="s">
        <v>16</v>
      </c>
      <c r="K221" s="5">
        <v>20</v>
      </c>
      <c r="L221" s="5">
        <v>15</v>
      </c>
      <c r="M221" s="5">
        <v>15</v>
      </c>
    </row>
    <row r="222" spans="1:13" ht="19.05" customHeight="1" x14ac:dyDescent="0.3">
      <c r="A222">
        <v>3451</v>
      </c>
      <c r="B222" t="s">
        <v>235</v>
      </c>
      <c r="C222" t="s">
        <v>19</v>
      </c>
      <c r="D222" s="4">
        <v>45568</v>
      </c>
      <c r="E222" t="s">
        <v>20</v>
      </c>
      <c r="F222" s="5">
        <v>5</v>
      </c>
      <c r="G222" t="s">
        <v>17</v>
      </c>
      <c r="H222" t="s">
        <v>20</v>
      </c>
      <c r="I222" s="5">
        <v>0</v>
      </c>
      <c r="J222" t="s">
        <v>20</v>
      </c>
      <c r="K222" s="5">
        <v>0</v>
      </c>
      <c r="L222" s="5">
        <v>1</v>
      </c>
      <c r="M222" s="5">
        <v>4</v>
      </c>
    </row>
    <row r="223" spans="1:13" ht="19.05" customHeight="1" x14ac:dyDescent="0.3">
      <c r="A223">
        <v>3452</v>
      </c>
      <c r="B223" t="s">
        <v>213</v>
      </c>
      <c r="C223" t="s">
        <v>15</v>
      </c>
      <c r="D223" s="4">
        <v>45569</v>
      </c>
      <c r="E223" t="s">
        <v>16</v>
      </c>
      <c r="F223" s="5">
        <v>15</v>
      </c>
      <c r="G223" t="s">
        <v>24</v>
      </c>
      <c r="H223" t="s">
        <v>16</v>
      </c>
      <c r="I223" s="5">
        <v>30</v>
      </c>
      <c r="J223" t="s">
        <v>16</v>
      </c>
      <c r="K223" s="5">
        <v>20</v>
      </c>
      <c r="L223" s="5">
        <v>7</v>
      </c>
      <c r="M223" s="5">
        <v>58</v>
      </c>
    </row>
    <row r="224" spans="1:13" ht="19.05" customHeight="1" x14ac:dyDescent="0.3">
      <c r="A224">
        <v>3453</v>
      </c>
      <c r="B224" t="s">
        <v>67</v>
      </c>
      <c r="C224" t="s">
        <v>23</v>
      </c>
      <c r="D224" s="4">
        <v>45570</v>
      </c>
      <c r="E224" t="s">
        <v>20</v>
      </c>
      <c r="F224" s="5">
        <v>10</v>
      </c>
      <c r="G224" t="s">
        <v>17</v>
      </c>
      <c r="H224" t="s">
        <v>20</v>
      </c>
      <c r="I224" s="5">
        <v>0</v>
      </c>
      <c r="J224" t="s">
        <v>16</v>
      </c>
      <c r="K224" s="5">
        <v>20</v>
      </c>
      <c r="L224" s="5">
        <v>10</v>
      </c>
      <c r="M224" s="5">
        <v>20</v>
      </c>
    </row>
    <row r="225" spans="1:13" ht="19.05" customHeight="1" x14ac:dyDescent="0.3">
      <c r="A225">
        <v>3454</v>
      </c>
      <c r="B225" t="s">
        <v>236</v>
      </c>
      <c r="C225" t="s">
        <v>19</v>
      </c>
      <c r="D225" s="4">
        <v>45571</v>
      </c>
      <c r="E225" t="s">
        <v>16</v>
      </c>
      <c r="F225" s="5">
        <v>5</v>
      </c>
      <c r="G225" t="s">
        <v>21</v>
      </c>
      <c r="H225" t="s">
        <v>20</v>
      </c>
      <c r="I225" s="5">
        <v>0</v>
      </c>
      <c r="J225" t="s">
        <v>20</v>
      </c>
      <c r="K225" s="5">
        <v>0</v>
      </c>
      <c r="L225" s="5">
        <v>0</v>
      </c>
      <c r="M225" s="5">
        <v>5</v>
      </c>
    </row>
    <row r="226" spans="1:13" ht="19.05" customHeight="1" x14ac:dyDescent="0.3">
      <c r="A226">
        <v>3455</v>
      </c>
      <c r="B226" t="s">
        <v>237</v>
      </c>
      <c r="C226" t="s">
        <v>15</v>
      </c>
      <c r="D226" s="4">
        <v>45572</v>
      </c>
      <c r="E226" t="s">
        <v>20</v>
      </c>
      <c r="F226" s="5">
        <v>15</v>
      </c>
      <c r="G226" t="s">
        <v>17</v>
      </c>
      <c r="H226" t="s">
        <v>16</v>
      </c>
      <c r="I226" s="5">
        <v>30</v>
      </c>
      <c r="J226" t="s">
        <v>16</v>
      </c>
      <c r="K226" s="5">
        <v>20</v>
      </c>
      <c r="L226" s="5">
        <v>20</v>
      </c>
      <c r="M226" s="5">
        <v>45</v>
      </c>
    </row>
    <row r="227" spans="1:13" ht="19.05" customHeight="1" x14ac:dyDescent="0.3">
      <c r="A227">
        <v>3456</v>
      </c>
      <c r="B227" t="s">
        <v>238</v>
      </c>
      <c r="C227" t="s">
        <v>23</v>
      </c>
      <c r="D227" s="4">
        <v>45573</v>
      </c>
      <c r="E227" t="s">
        <v>16</v>
      </c>
      <c r="F227" s="5">
        <v>10</v>
      </c>
      <c r="G227" t="s">
        <v>24</v>
      </c>
      <c r="H227" t="s">
        <v>20</v>
      </c>
      <c r="I227" s="5">
        <v>0</v>
      </c>
      <c r="J227" t="s">
        <v>16</v>
      </c>
      <c r="K227" s="5">
        <v>20</v>
      </c>
      <c r="L227" s="5">
        <v>15</v>
      </c>
      <c r="M227" s="5">
        <v>15</v>
      </c>
    </row>
    <row r="228" spans="1:13" ht="19.05" customHeight="1" x14ac:dyDescent="0.3">
      <c r="A228">
        <v>3457</v>
      </c>
      <c r="B228" t="s">
        <v>239</v>
      </c>
      <c r="C228" t="s">
        <v>19</v>
      </c>
      <c r="D228" s="4">
        <v>45574</v>
      </c>
      <c r="E228" t="s">
        <v>20</v>
      </c>
      <c r="F228" s="5">
        <v>5</v>
      </c>
      <c r="G228" t="s">
        <v>17</v>
      </c>
      <c r="H228" t="s">
        <v>20</v>
      </c>
      <c r="I228" s="5">
        <v>0</v>
      </c>
      <c r="J228" t="s">
        <v>20</v>
      </c>
      <c r="K228" s="5">
        <v>0</v>
      </c>
      <c r="L228" s="5">
        <v>1</v>
      </c>
      <c r="M228" s="5">
        <v>4</v>
      </c>
    </row>
    <row r="229" spans="1:13" ht="19.05" customHeight="1" x14ac:dyDescent="0.3">
      <c r="A229">
        <v>3458</v>
      </c>
      <c r="B229" t="s">
        <v>240</v>
      </c>
      <c r="C229" t="s">
        <v>15</v>
      </c>
      <c r="D229" s="4">
        <v>45575</v>
      </c>
      <c r="E229" t="s">
        <v>16</v>
      </c>
      <c r="F229" s="5">
        <v>15</v>
      </c>
      <c r="G229" t="s">
        <v>21</v>
      </c>
      <c r="H229" t="s">
        <v>16</v>
      </c>
      <c r="I229" s="5">
        <v>30</v>
      </c>
      <c r="J229" t="s">
        <v>16</v>
      </c>
      <c r="K229" s="5">
        <v>20</v>
      </c>
      <c r="L229" s="5">
        <v>3</v>
      </c>
      <c r="M229" s="5">
        <v>62</v>
      </c>
    </row>
    <row r="230" spans="1:13" ht="19.05" customHeight="1" x14ac:dyDescent="0.3">
      <c r="A230">
        <v>3459</v>
      </c>
      <c r="B230" t="s">
        <v>241</v>
      </c>
      <c r="C230" t="s">
        <v>23</v>
      </c>
      <c r="D230" s="4">
        <v>45576</v>
      </c>
      <c r="E230" t="s">
        <v>20</v>
      </c>
      <c r="F230" s="5">
        <v>10</v>
      </c>
      <c r="G230" t="s">
        <v>17</v>
      </c>
      <c r="H230" t="s">
        <v>20</v>
      </c>
      <c r="I230" s="5">
        <v>0</v>
      </c>
      <c r="J230" t="s">
        <v>16</v>
      </c>
      <c r="K230" s="5">
        <v>20</v>
      </c>
      <c r="L230" s="5">
        <v>10</v>
      </c>
      <c r="M230" s="5">
        <v>20</v>
      </c>
    </row>
    <row r="231" spans="1:13" ht="19.05" customHeight="1" x14ac:dyDescent="0.3">
      <c r="A231">
        <v>3460</v>
      </c>
      <c r="B231" t="s">
        <v>149</v>
      </c>
      <c r="C231" t="s">
        <v>19</v>
      </c>
      <c r="D231" s="4">
        <v>45577</v>
      </c>
      <c r="E231" t="s">
        <v>16</v>
      </c>
      <c r="F231" s="5">
        <v>5</v>
      </c>
      <c r="G231" t="s">
        <v>24</v>
      </c>
      <c r="H231" t="s">
        <v>20</v>
      </c>
      <c r="I231" s="5">
        <v>0</v>
      </c>
      <c r="J231" t="s">
        <v>20</v>
      </c>
      <c r="K231" s="5">
        <v>0</v>
      </c>
      <c r="L231" s="5">
        <v>0</v>
      </c>
      <c r="M231" s="5">
        <v>5</v>
      </c>
    </row>
    <row r="232" spans="1:13" ht="19.05" customHeight="1" x14ac:dyDescent="0.3">
      <c r="A232">
        <v>3461</v>
      </c>
      <c r="B232" t="s">
        <v>242</v>
      </c>
      <c r="C232" t="s">
        <v>15</v>
      </c>
      <c r="D232" s="4">
        <v>45578</v>
      </c>
      <c r="E232" t="s">
        <v>20</v>
      </c>
      <c r="F232" s="5">
        <v>15</v>
      </c>
      <c r="G232" t="s">
        <v>17</v>
      </c>
      <c r="H232" t="s">
        <v>16</v>
      </c>
      <c r="I232" s="5">
        <v>30</v>
      </c>
      <c r="J232" t="s">
        <v>16</v>
      </c>
      <c r="K232" s="5">
        <v>20</v>
      </c>
      <c r="L232" s="5">
        <v>15</v>
      </c>
      <c r="M232" s="5">
        <v>50</v>
      </c>
    </row>
    <row r="233" spans="1:13" ht="19.05" customHeight="1" x14ac:dyDescent="0.3">
      <c r="A233">
        <v>3462</v>
      </c>
      <c r="B233" t="s">
        <v>243</v>
      </c>
      <c r="C233" t="s">
        <v>23</v>
      </c>
      <c r="D233" s="4">
        <v>45579</v>
      </c>
      <c r="E233" t="s">
        <v>16</v>
      </c>
      <c r="F233" s="5">
        <v>10</v>
      </c>
      <c r="G233" t="s">
        <v>21</v>
      </c>
      <c r="H233" t="s">
        <v>20</v>
      </c>
      <c r="I233" s="5">
        <v>0</v>
      </c>
      <c r="J233" t="s">
        <v>16</v>
      </c>
      <c r="K233" s="5">
        <v>20</v>
      </c>
      <c r="L233" s="5">
        <v>15</v>
      </c>
      <c r="M233" s="5">
        <v>15</v>
      </c>
    </row>
    <row r="234" spans="1:13" ht="19.05" customHeight="1" x14ac:dyDescent="0.3">
      <c r="A234">
        <v>3463</v>
      </c>
      <c r="B234" t="s">
        <v>244</v>
      </c>
      <c r="C234" t="s">
        <v>19</v>
      </c>
      <c r="D234" s="4">
        <v>45580</v>
      </c>
      <c r="E234" t="s">
        <v>20</v>
      </c>
      <c r="F234" s="5">
        <v>5</v>
      </c>
      <c r="G234" t="s">
        <v>17</v>
      </c>
      <c r="H234" t="s">
        <v>20</v>
      </c>
      <c r="I234" s="5">
        <v>0</v>
      </c>
      <c r="J234" t="s">
        <v>20</v>
      </c>
      <c r="K234" s="5">
        <v>0</v>
      </c>
      <c r="L234" s="5">
        <v>1</v>
      </c>
      <c r="M234" s="5">
        <v>4</v>
      </c>
    </row>
    <row r="235" spans="1:13" ht="19.05" customHeight="1" x14ac:dyDescent="0.3">
      <c r="A235">
        <v>3464</v>
      </c>
      <c r="B235" t="s">
        <v>245</v>
      </c>
      <c r="C235" t="s">
        <v>15</v>
      </c>
      <c r="D235" s="4">
        <v>45581</v>
      </c>
      <c r="E235" t="s">
        <v>16</v>
      </c>
      <c r="F235" s="5">
        <v>15</v>
      </c>
      <c r="G235" t="s">
        <v>24</v>
      </c>
      <c r="H235" t="s">
        <v>16</v>
      </c>
      <c r="I235" s="5">
        <v>30</v>
      </c>
      <c r="J235" t="s">
        <v>16</v>
      </c>
      <c r="K235" s="5">
        <v>20</v>
      </c>
      <c r="L235" s="5">
        <v>7</v>
      </c>
      <c r="M235" s="5">
        <v>58</v>
      </c>
    </row>
    <row r="236" spans="1:13" ht="19.05" customHeight="1" x14ac:dyDescent="0.3">
      <c r="A236">
        <v>3465</v>
      </c>
      <c r="B236" t="s">
        <v>246</v>
      </c>
      <c r="C236" t="s">
        <v>23</v>
      </c>
      <c r="D236" s="4">
        <v>45582</v>
      </c>
      <c r="E236" t="s">
        <v>20</v>
      </c>
      <c r="F236" s="5">
        <v>10</v>
      </c>
      <c r="G236" t="s">
        <v>17</v>
      </c>
      <c r="H236" t="s">
        <v>20</v>
      </c>
      <c r="I236" s="5">
        <v>0</v>
      </c>
      <c r="J236" t="s">
        <v>16</v>
      </c>
      <c r="K236" s="5">
        <v>20</v>
      </c>
      <c r="L236" s="5">
        <v>10</v>
      </c>
      <c r="M236" s="5">
        <v>20</v>
      </c>
    </row>
    <row r="237" spans="1:13" ht="19.05" customHeight="1" x14ac:dyDescent="0.3">
      <c r="A237">
        <v>3466</v>
      </c>
      <c r="B237" t="s">
        <v>247</v>
      </c>
      <c r="C237" t="s">
        <v>19</v>
      </c>
      <c r="D237" s="4">
        <v>45583</v>
      </c>
      <c r="E237" t="s">
        <v>16</v>
      </c>
      <c r="F237" s="5">
        <v>5</v>
      </c>
      <c r="G237" t="s">
        <v>21</v>
      </c>
      <c r="H237" t="s">
        <v>20</v>
      </c>
      <c r="I237" s="5">
        <v>0</v>
      </c>
      <c r="J237" t="s">
        <v>20</v>
      </c>
      <c r="K237" s="5">
        <v>0</v>
      </c>
      <c r="L237" s="5">
        <v>0</v>
      </c>
      <c r="M237" s="5">
        <v>5</v>
      </c>
    </row>
    <row r="238" spans="1:13" ht="19.05" customHeight="1" x14ac:dyDescent="0.3">
      <c r="A238">
        <v>3467</v>
      </c>
      <c r="B238" t="s">
        <v>248</v>
      </c>
      <c r="C238" t="s">
        <v>15</v>
      </c>
      <c r="D238" s="4">
        <v>45584</v>
      </c>
      <c r="E238" t="s">
        <v>20</v>
      </c>
      <c r="F238" s="5">
        <v>15</v>
      </c>
      <c r="G238" t="s">
        <v>17</v>
      </c>
      <c r="H238" t="s">
        <v>16</v>
      </c>
      <c r="I238" s="5">
        <v>30</v>
      </c>
      <c r="J238" t="s">
        <v>16</v>
      </c>
      <c r="K238" s="5">
        <v>20</v>
      </c>
      <c r="L238" s="5">
        <v>15</v>
      </c>
      <c r="M238" s="5">
        <v>50</v>
      </c>
    </row>
    <row r="239" spans="1:13" ht="19.05" customHeight="1" x14ac:dyDescent="0.3">
      <c r="A239">
        <v>3468</v>
      </c>
      <c r="B239" t="s">
        <v>249</v>
      </c>
      <c r="C239" t="s">
        <v>23</v>
      </c>
      <c r="D239" s="4">
        <v>45585</v>
      </c>
      <c r="E239" t="s">
        <v>16</v>
      </c>
      <c r="F239" s="5">
        <v>10</v>
      </c>
      <c r="G239" t="s">
        <v>24</v>
      </c>
      <c r="H239" t="s">
        <v>20</v>
      </c>
      <c r="I239" s="5">
        <v>0</v>
      </c>
      <c r="J239" t="s">
        <v>16</v>
      </c>
      <c r="K239" s="5">
        <v>20</v>
      </c>
      <c r="L239" s="5">
        <v>12</v>
      </c>
      <c r="M239" s="5">
        <v>18</v>
      </c>
    </row>
    <row r="240" spans="1:13" ht="19.05" customHeight="1" x14ac:dyDescent="0.3">
      <c r="A240">
        <v>3469</v>
      </c>
      <c r="B240" t="s">
        <v>250</v>
      </c>
      <c r="C240" t="s">
        <v>19</v>
      </c>
      <c r="D240" s="4">
        <v>45586</v>
      </c>
      <c r="E240" t="s">
        <v>20</v>
      </c>
      <c r="F240" s="5">
        <v>5</v>
      </c>
      <c r="G240" t="s">
        <v>17</v>
      </c>
      <c r="H240" t="s">
        <v>20</v>
      </c>
      <c r="I240" s="5">
        <v>0</v>
      </c>
      <c r="J240" t="s">
        <v>20</v>
      </c>
      <c r="K240" s="5">
        <v>0</v>
      </c>
      <c r="L240" s="5">
        <v>2</v>
      </c>
      <c r="M240" s="5">
        <v>3</v>
      </c>
    </row>
    <row r="241" spans="1:13" ht="19.05" customHeight="1" x14ac:dyDescent="0.3">
      <c r="A241">
        <v>3470</v>
      </c>
      <c r="B241" t="s">
        <v>251</v>
      </c>
      <c r="C241" t="s">
        <v>15</v>
      </c>
      <c r="D241" s="4">
        <v>45587</v>
      </c>
      <c r="E241" t="s">
        <v>16</v>
      </c>
      <c r="F241" s="5">
        <v>15</v>
      </c>
      <c r="G241" t="s">
        <v>21</v>
      </c>
      <c r="H241" t="s">
        <v>16</v>
      </c>
      <c r="I241" s="5">
        <v>30</v>
      </c>
      <c r="J241" t="s">
        <v>16</v>
      </c>
      <c r="K241" s="5">
        <v>20</v>
      </c>
      <c r="L241" s="5">
        <v>5</v>
      </c>
      <c r="M241" s="5">
        <v>60</v>
      </c>
    </row>
    <row r="242" spans="1:13" ht="19.05" customHeight="1" x14ac:dyDescent="0.3">
      <c r="A242">
        <v>3471</v>
      </c>
      <c r="B242" t="s">
        <v>252</v>
      </c>
      <c r="C242" t="s">
        <v>23</v>
      </c>
      <c r="D242" s="4">
        <v>45588</v>
      </c>
      <c r="E242" t="s">
        <v>20</v>
      </c>
      <c r="F242" s="5">
        <v>10</v>
      </c>
      <c r="G242" t="s">
        <v>17</v>
      </c>
      <c r="H242" t="s">
        <v>20</v>
      </c>
      <c r="I242" s="5">
        <v>0</v>
      </c>
      <c r="J242" t="s">
        <v>16</v>
      </c>
      <c r="K242" s="5">
        <v>20</v>
      </c>
      <c r="L242" s="5">
        <v>10</v>
      </c>
      <c r="M242" s="5">
        <v>20</v>
      </c>
    </row>
    <row r="243" spans="1:13" ht="19.05" customHeight="1" x14ac:dyDescent="0.3">
      <c r="A243">
        <v>3472</v>
      </c>
      <c r="B243" t="s">
        <v>253</v>
      </c>
      <c r="C243" t="s">
        <v>19</v>
      </c>
      <c r="D243" s="4">
        <v>45589</v>
      </c>
      <c r="E243" t="s">
        <v>16</v>
      </c>
      <c r="F243" s="5">
        <v>5</v>
      </c>
      <c r="G243" t="s">
        <v>24</v>
      </c>
      <c r="H243" t="s">
        <v>20</v>
      </c>
      <c r="I243" s="5">
        <v>0</v>
      </c>
      <c r="J243" t="s">
        <v>20</v>
      </c>
      <c r="K243" s="5">
        <v>0</v>
      </c>
      <c r="L243" s="5">
        <v>0</v>
      </c>
      <c r="M243" s="5">
        <v>5</v>
      </c>
    </row>
    <row r="244" spans="1:13" ht="19.05" customHeight="1" x14ac:dyDescent="0.3">
      <c r="A244">
        <v>3473</v>
      </c>
      <c r="B244" t="s">
        <v>162</v>
      </c>
      <c r="C244" t="s">
        <v>15</v>
      </c>
      <c r="D244" s="4">
        <v>45590</v>
      </c>
      <c r="E244" t="s">
        <v>20</v>
      </c>
      <c r="F244" s="5">
        <v>15</v>
      </c>
      <c r="G244" t="s">
        <v>17</v>
      </c>
      <c r="H244" t="s">
        <v>16</v>
      </c>
      <c r="I244" s="5">
        <v>30</v>
      </c>
      <c r="J244" t="s">
        <v>16</v>
      </c>
      <c r="K244" s="5">
        <v>20</v>
      </c>
      <c r="L244" s="5">
        <v>3</v>
      </c>
      <c r="M244" s="5">
        <v>62</v>
      </c>
    </row>
    <row r="245" spans="1:13" ht="19.05" customHeight="1" x14ac:dyDescent="0.3">
      <c r="A245">
        <v>3474</v>
      </c>
      <c r="B245" t="s">
        <v>254</v>
      </c>
      <c r="C245" t="s">
        <v>23</v>
      </c>
      <c r="D245" s="4">
        <v>45591</v>
      </c>
      <c r="E245" t="s">
        <v>16</v>
      </c>
      <c r="F245" s="5">
        <v>10</v>
      </c>
      <c r="G245" t="s">
        <v>21</v>
      </c>
      <c r="H245" t="s">
        <v>20</v>
      </c>
      <c r="I245" s="5">
        <v>0</v>
      </c>
      <c r="J245" t="s">
        <v>16</v>
      </c>
      <c r="K245" s="5">
        <v>20</v>
      </c>
      <c r="L245" s="5">
        <v>15</v>
      </c>
      <c r="M245" s="5">
        <v>15</v>
      </c>
    </row>
    <row r="246" spans="1:13" ht="19.05" customHeight="1" x14ac:dyDescent="0.3">
      <c r="A246">
        <v>3475</v>
      </c>
      <c r="B246" t="s">
        <v>255</v>
      </c>
      <c r="C246" t="s">
        <v>19</v>
      </c>
      <c r="D246" s="4">
        <v>45592</v>
      </c>
      <c r="E246" t="s">
        <v>20</v>
      </c>
      <c r="F246" s="5">
        <v>5</v>
      </c>
      <c r="G246" t="s">
        <v>17</v>
      </c>
      <c r="H246" t="s">
        <v>20</v>
      </c>
      <c r="I246" s="5">
        <v>0</v>
      </c>
      <c r="J246" t="s">
        <v>20</v>
      </c>
      <c r="K246" s="5">
        <v>0</v>
      </c>
      <c r="L246" s="5">
        <v>1</v>
      </c>
      <c r="M246" s="5">
        <v>4</v>
      </c>
    </row>
    <row r="247" spans="1:13" ht="19.05" customHeight="1" x14ac:dyDescent="0.3">
      <c r="A247">
        <v>3476</v>
      </c>
      <c r="B247" t="s">
        <v>256</v>
      </c>
      <c r="C247" t="s">
        <v>15</v>
      </c>
      <c r="D247" s="4">
        <v>45593</v>
      </c>
      <c r="E247" t="s">
        <v>16</v>
      </c>
      <c r="F247" s="5">
        <v>15</v>
      </c>
      <c r="G247" t="s">
        <v>24</v>
      </c>
      <c r="H247" t="s">
        <v>16</v>
      </c>
      <c r="I247" s="5">
        <v>30</v>
      </c>
      <c r="J247" t="s">
        <v>16</v>
      </c>
      <c r="K247" s="5">
        <v>20</v>
      </c>
      <c r="L247" s="5">
        <v>7</v>
      </c>
      <c r="M247" s="5">
        <v>58</v>
      </c>
    </row>
    <row r="248" spans="1:13" ht="19.05" customHeight="1" x14ac:dyDescent="0.3">
      <c r="A248">
        <v>3477</v>
      </c>
      <c r="B248" t="s">
        <v>257</v>
      </c>
      <c r="C248" t="s">
        <v>23</v>
      </c>
      <c r="D248" s="4">
        <v>45594</v>
      </c>
      <c r="E248" t="s">
        <v>20</v>
      </c>
      <c r="F248" s="5">
        <v>10</v>
      </c>
      <c r="G248" t="s">
        <v>17</v>
      </c>
      <c r="H248" t="s">
        <v>20</v>
      </c>
      <c r="I248" s="5">
        <v>0</v>
      </c>
      <c r="J248" t="s">
        <v>16</v>
      </c>
      <c r="K248" s="5">
        <v>20</v>
      </c>
      <c r="L248" s="5">
        <v>10</v>
      </c>
      <c r="M248" s="5">
        <v>20</v>
      </c>
    </row>
    <row r="249" spans="1:13" ht="19.05" customHeight="1" x14ac:dyDescent="0.3">
      <c r="A249">
        <v>3478</v>
      </c>
      <c r="B249" t="s">
        <v>258</v>
      </c>
      <c r="C249" t="s">
        <v>19</v>
      </c>
      <c r="D249" s="4">
        <v>45595</v>
      </c>
      <c r="E249" t="s">
        <v>16</v>
      </c>
      <c r="F249" s="5">
        <v>5</v>
      </c>
      <c r="G249" t="s">
        <v>21</v>
      </c>
      <c r="H249" t="s">
        <v>20</v>
      </c>
      <c r="I249" s="5">
        <v>0</v>
      </c>
      <c r="J249" t="s">
        <v>20</v>
      </c>
      <c r="K249" s="5">
        <v>0</v>
      </c>
      <c r="L249" s="5">
        <v>0</v>
      </c>
      <c r="M249" s="5">
        <v>5</v>
      </c>
    </row>
    <row r="250" spans="1:13" ht="19.05" customHeight="1" x14ac:dyDescent="0.3">
      <c r="A250">
        <v>3479</v>
      </c>
      <c r="B250" t="s">
        <v>259</v>
      </c>
      <c r="C250" t="s">
        <v>15</v>
      </c>
      <c r="D250" s="4">
        <v>45596</v>
      </c>
      <c r="E250" t="s">
        <v>20</v>
      </c>
      <c r="F250" s="5">
        <v>15</v>
      </c>
      <c r="G250" t="s">
        <v>17</v>
      </c>
      <c r="H250" t="s">
        <v>16</v>
      </c>
      <c r="I250" s="5">
        <v>30</v>
      </c>
      <c r="J250" t="s">
        <v>16</v>
      </c>
      <c r="K250" s="5">
        <v>20</v>
      </c>
      <c r="L250" s="5">
        <v>20</v>
      </c>
      <c r="M250" s="5">
        <v>45</v>
      </c>
    </row>
    <row r="251" spans="1:13" ht="19.05" customHeight="1" x14ac:dyDescent="0.3">
      <c r="A251">
        <v>3480</v>
      </c>
      <c r="B251" t="s">
        <v>260</v>
      </c>
      <c r="C251" t="s">
        <v>23</v>
      </c>
      <c r="D251" s="4">
        <v>45597</v>
      </c>
      <c r="E251" t="s">
        <v>16</v>
      </c>
      <c r="F251" s="5">
        <v>10</v>
      </c>
      <c r="G251" t="s">
        <v>24</v>
      </c>
      <c r="H251" t="s">
        <v>20</v>
      </c>
      <c r="I251" s="5">
        <v>0</v>
      </c>
      <c r="J251" t="s">
        <v>16</v>
      </c>
      <c r="K251" s="5">
        <v>20</v>
      </c>
      <c r="L251" s="5">
        <v>15</v>
      </c>
      <c r="M251" s="5">
        <v>15</v>
      </c>
    </row>
    <row r="252" spans="1:13" ht="19.05" customHeight="1" x14ac:dyDescent="0.3">
      <c r="A252">
        <v>3481</v>
      </c>
      <c r="B252" t="s">
        <v>261</v>
      </c>
      <c r="C252" t="s">
        <v>19</v>
      </c>
      <c r="D252" s="4">
        <v>45598</v>
      </c>
      <c r="E252" t="s">
        <v>20</v>
      </c>
      <c r="F252" s="5">
        <v>5</v>
      </c>
      <c r="G252" t="s">
        <v>17</v>
      </c>
      <c r="H252" t="s">
        <v>20</v>
      </c>
      <c r="I252" s="5">
        <v>0</v>
      </c>
      <c r="J252" t="s">
        <v>20</v>
      </c>
      <c r="K252" s="5">
        <v>0</v>
      </c>
      <c r="L252" s="5">
        <v>1</v>
      </c>
      <c r="M252" s="5">
        <v>4</v>
      </c>
    </row>
    <row r="253" spans="1:13" ht="19.05" customHeight="1" x14ac:dyDescent="0.3">
      <c r="A253">
        <v>3482</v>
      </c>
      <c r="B253" t="s">
        <v>262</v>
      </c>
      <c r="C253" t="s">
        <v>15</v>
      </c>
      <c r="D253" s="4">
        <v>45599</v>
      </c>
      <c r="E253" t="s">
        <v>16</v>
      </c>
      <c r="F253" s="5">
        <v>15</v>
      </c>
      <c r="G253" t="s">
        <v>21</v>
      </c>
      <c r="H253" t="s">
        <v>16</v>
      </c>
      <c r="I253" s="5">
        <v>30</v>
      </c>
      <c r="J253" t="s">
        <v>16</v>
      </c>
      <c r="K253" s="5">
        <v>20</v>
      </c>
      <c r="L253" s="5">
        <v>3</v>
      </c>
      <c r="M253" s="5">
        <v>62</v>
      </c>
    </row>
    <row r="254" spans="1:13" ht="19.05" customHeight="1" x14ac:dyDescent="0.3">
      <c r="A254">
        <v>3483</v>
      </c>
      <c r="B254" t="s">
        <v>263</v>
      </c>
      <c r="C254" t="s">
        <v>23</v>
      </c>
      <c r="D254" s="4">
        <v>45600</v>
      </c>
      <c r="E254" t="s">
        <v>20</v>
      </c>
      <c r="F254" s="5">
        <v>10</v>
      </c>
      <c r="G254" t="s">
        <v>17</v>
      </c>
      <c r="H254" t="s">
        <v>20</v>
      </c>
      <c r="I254" s="5">
        <v>0</v>
      </c>
      <c r="J254" t="s">
        <v>16</v>
      </c>
      <c r="K254" s="5">
        <v>20</v>
      </c>
      <c r="L254" s="5">
        <v>10</v>
      </c>
      <c r="M254" s="5">
        <v>20</v>
      </c>
    </row>
    <row r="255" spans="1:13" ht="19.05" customHeight="1" x14ac:dyDescent="0.3">
      <c r="A255">
        <v>3484</v>
      </c>
      <c r="B255" t="s">
        <v>264</v>
      </c>
      <c r="C255" t="s">
        <v>19</v>
      </c>
      <c r="D255" s="4">
        <v>45601</v>
      </c>
      <c r="E255" t="s">
        <v>16</v>
      </c>
      <c r="F255" s="5">
        <v>5</v>
      </c>
      <c r="G255" t="s">
        <v>24</v>
      </c>
      <c r="H255" t="s">
        <v>20</v>
      </c>
      <c r="I255" s="5">
        <v>0</v>
      </c>
      <c r="J255" t="s">
        <v>20</v>
      </c>
      <c r="K255" s="5">
        <v>0</v>
      </c>
      <c r="L255" s="5">
        <v>0</v>
      </c>
      <c r="M255" s="5">
        <v>5</v>
      </c>
    </row>
    <row r="256" spans="1:13" ht="19.05" customHeight="1" x14ac:dyDescent="0.3">
      <c r="A256">
        <v>3485</v>
      </c>
      <c r="B256" t="s">
        <v>265</v>
      </c>
      <c r="C256" t="s">
        <v>15</v>
      </c>
      <c r="D256" s="4">
        <v>45602</v>
      </c>
      <c r="E256" t="s">
        <v>20</v>
      </c>
      <c r="F256" s="5">
        <v>15</v>
      </c>
      <c r="G256" t="s">
        <v>17</v>
      </c>
      <c r="H256" t="s">
        <v>16</v>
      </c>
      <c r="I256" s="5">
        <v>30</v>
      </c>
      <c r="J256" t="s">
        <v>16</v>
      </c>
      <c r="K256" s="5">
        <v>20</v>
      </c>
      <c r="L256" s="5">
        <v>15</v>
      </c>
      <c r="M256" s="5">
        <v>50</v>
      </c>
    </row>
    <row r="257" spans="1:13" ht="19.05" customHeight="1" x14ac:dyDescent="0.3">
      <c r="A257">
        <v>3486</v>
      </c>
      <c r="B257" t="s">
        <v>266</v>
      </c>
      <c r="C257" t="s">
        <v>19</v>
      </c>
      <c r="D257" s="4">
        <v>45603</v>
      </c>
      <c r="E257" t="s">
        <v>16</v>
      </c>
      <c r="F257" s="5">
        <v>5</v>
      </c>
      <c r="G257" t="s">
        <v>17</v>
      </c>
      <c r="H257" t="s">
        <v>20</v>
      </c>
      <c r="I257" s="5">
        <v>0</v>
      </c>
      <c r="J257" t="s">
        <v>20</v>
      </c>
      <c r="K257" s="5">
        <v>0</v>
      </c>
      <c r="L257" s="5">
        <v>0</v>
      </c>
      <c r="M257" s="5">
        <v>5</v>
      </c>
    </row>
    <row r="258" spans="1:13" ht="19.05" customHeight="1" x14ac:dyDescent="0.3">
      <c r="A258">
        <v>3487</v>
      </c>
      <c r="B258" t="s">
        <v>267</v>
      </c>
      <c r="C258" t="s">
        <v>15</v>
      </c>
      <c r="D258" s="4">
        <v>45604</v>
      </c>
      <c r="E258" t="s">
        <v>20</v>
      </c>
      <c r="F258" s="5">
        <v>15</v>
      </c>
      <c r="G258" t="s">
        <v>24</v>
      </c>
      <c r="H258" t="s">
        <v>16</v>
      </c>
      <c r="I258" s="5">
        <v>30</v>
      </c>
      <c r="J258" t="s">
        <v>16</v>
      </c>
      <c r="K258" s="5">
        <v>20</v>
      </c>
      <c r="L258" s="5">
        <v>7</v>
      </c>
      <c r="M258" s="5">
        <v>58</v>
      </c>
    </row>
    <row r="259" spans="1:13" ht="19.05" customHeight="1" x14ac:dyDescent="0.3">
      <c r="A259">
        <v>3488</v>
      </c>
      <c r="B259" t="s">
        <v>268</v>
      </c>
      <c r="C259" t="s">
        <v>23</v>
      </c>
      <c r="D259" s="4">
        <v>45605</v>
      </c>
      <c r="E259" t="s">
        <v>16</v>
      </c>
      <c r="F259" s="5">
        <v>10</v>
      </c>
      <c r="G259" t="s">
        <v>21</v>
      </c>
      <c r="H259" t="s">
        <v>20</v>
      </c>
      <c r="I259" s="5">
        <v>0</v>
      </c>
      <c r="J259" t="s">
        <v>16</v>
      </c>
      <c r="K259" s="5">
        <v>20</v>
      </c>
      <c r="L259" s="5">
        <v>10</v>
      </c>
      <c r="M259" s="5">
        <v>20</v>
      </c>
    </row>
    <row r="260" spans="1:13" ht="19.05" customHeight="1" x14ac:dyDescent="0.3">
      <c r="A260">
        <v>3489</v>
      </c>
      <c r="B260" t="s">
        <v>269</v>
      </c>
      <c r="C260" t="s">
        <v>19</v>
      </c>
      <c r="D260" s="4">
        <v>45606</v>
      </c>
      <c r="E260" t="s">
        <v>20</v>
      </c>
      <c r="F260" s="5">
        <v>5</v>
      </c>
      <c r="G260" t="s">
        <v>24</v>
      </c>
      <c r="H260" t="s">
        <v>20</v>
      </c>
      <c r="I260" s="5">
        <v>0</v>
      </c>
      <c r="J260" t="s">
        <v>20</v>
      </c>
      <c r="K260" s="5">
        <v>0</v>
      </c>
      <c r="L260" s="5">
        <v>1</v>
      </c>
      <c r="M260" s="5">
        <v>4</v>
      </c>
    </row>
    <row r="261" spans="1:13" ht="19.05" customHeight="1" x14ac:dyDescent="0.3">
      <c r="A261">
        <v>3490</v>
      </c>
      <c r="B261" t="s">
        <v>270</v>
      </c>
      <c r="C261" t="s">
        <v>15</v>
      </c>
      <c r="D261" s="4">
        <v>45607</v>
      </c>
      <c r="E261" t="s">
        <v>16</v>
      </c>
      <c r="F261" s="5">
        <v>15</v>
      </c>
      <c r="G261" t="s">
        <v>17</v>
      </c>
      <c r="H261" t="s">
        <v>16</v>
      </c>
      <c r="I261" s="5">
        <v>30</v>
      </c>
      <c r="J261" t="s">
        <v>16</v>
      </c>
      <c r="K261" s="5">
        <v>20</v>
      </c>
      <c r="L261" s="5">
        <v>15</v>
      </c>
      <c r="M261" s="5">
        <v>50</v>
      </c>
    </row>
    <row r="262" spans="1:13" ht="19.05" customHeight="1" x14ac:dyDescent="0.3">
      <c r="A262">
        <v>3491</v>
      </c>
      <c r="B262" t="s">
        <v>271</v>
      </c>
      <c r="C262" t="s">
        <v>23</v>
      </c>
      <c r="D262" s="4">
        <v>45608</v>
      </c>
      <c r="E262" t="s">
        <v>20</v>
      </c>
      <c r="F262" s="5">
        <v>10</v>
      </c>
      <c r="G262" t="s">
        <v>17</v>
      </c>
      <c r="H262" t="s">
        <v>20</v>
      </c>
      <c r="I262" s="5">
        <v>0</v>
      </c>
      <c r="J262" t="s">
        <v>16</v>
      </c>
      <c r="K262" s="5">
        <v>20</v>
      </c>
      <c r="L262" s="5">
        <v>5</v>
      </c>
      <c r="M262" s="5">
        <v>25</v>
      </c>
    </row>
    <row r="263" spans="1:13" ht="19.05" customHeight="1" x14ac:dyDescent="0.3">
      <c r="A263">
        <v>3492</v>
      </c>
      <c r="B263" t="s">
        <v>272</v>
      </c>
      <c r="C263" t="s">
        <v>19</v>
      </c>
      <c r="D263" s="4">
        <v>45609</v>
      </c>
      <c r="E263" t="s">
        <v>16</v>
      </c>
      <c r="F263" s="5">
        <v>5</v>
      </c>
      <c r="G263" t="s">
        <v>21</v>
      </c>
      <c r="H263" t="s">
        <v>20</v>
      </c>
      <c r="I263" s="5">
        <v>0</v>
      </c>
      <c r="J263" t="s">
        <v>20</v>
      </c>
      <c r="K263" s="5">
        <v>0</v>
      </c>
      <c r="L263" s="5">
        <v>0</v>
      </c>
      <c r="M263" s="5">
        <v>5</v>
      </c>
    </row>
    <row r="264" spans="1:13" ht="19.05" customHeight="1" x14ac:dyDescent="0.3">
      <c r="A264">
        <v>3493</v>
      </c>
      <c r="B264" t="s">
        <v>273</v>
      </c>
      <c r="C264" t="s">
        <v>15</v>
      </c>
      <c r="D264" s="4">
        <v>45610</v>
      </c>
      <c r="E264" t="s">
        <v>20</v>
      </c>
      <c r="F264" s="5">
        <v>15</v>
      </c>
      <c r="G264" t="s">
        <v>24</v>
      </c>
      <c r="H264" t="s">
        <v>16</v>
      </c>
      <c r="I264" s="5">
        <v>30</v>
      </c>
      <c r="J264" t="s">
        <v>16</v>
      </c>
      <c r="K264" s="5">
        <v>20</v>
      </c>
      <c r="L264" s="5">
        <v>20</v>
      </c>
      <c r="M264" s="5">
        <v>45</v>
      </c>
    </row>
    <row r="265" spans="1:13" ht="19.05" customHeight="1" x14ac:dyDescent="0.3">
      <c r="A265">
        <v>3494</v>
      </c>
      <c r="B265" t="s">
        <v>274</v>
      </c>
      <c r="C265" t="s">
        <v>23</v>
      </c>
      <c r="D265" s="4">
        <v>45611</v>
      </c>
      <c r="E265" t="s">
        <v>16</v>
      </c>
      <c r="F265" s="5">
        <v>10</v>
      </c>
      <c r="G265" t="s">
        <v>24</v>
      </c>
      <c r="H265" t="s">
        <v>20</v>
      </c>
      <c r="I265" s="5">
        <v>0</v>
      </c>
      <c r="J265" t="s">
        <v>16</v>
      </c>
      <c r="K265" s="5">
        <v>20</v>
      </c>
      <c r="L265" s="5">
        <v>12</v>
      </c>
      <c r="M265" s="5">
        <v>18</v>
      </c>
    </row>
    <row r="266" spans="1:13" ht="19.05" customHeight="1" x14ac:dyDescent="0.3">
      <c r="A266">
        <v>3495</v>
      </c>
      <c r="B266" t="s">
        <v>275</v>
      </c>
      <c r="C266" t="s">
        <v>19</v>
      </c>
      <c r="D266" s="4">
        <v>45612</v>
      </c>
      <c r="E266" t="s">
        <v>20</v>
      </c>
      <c r="F266" s="5">
        <v>5</v>
      </c>
      <c r="G266" t="s">
        <v>17</v>
      </c>
      <c r="H266" t="s">
        <v>20</v>
      </c>
      <c r="I266" s="5">
        <v>0</v>
      </c>
      <c r="J266" t="s">
        <v>20</v>
      </c>
      <c r="K266" s="5">
        <v>0</v>
      </c>
      <c r="L266" s="5">
        <v>2</v>
      </c>
      <c r="M266" s="5">
        <v>3</v>
      </c>
    </row>
    <row r="267" spans="1:13" ht="19.05" customHeight="1" x14ac:dyDescent="0.3">
      <c r="A267">
        <v>3496</v>
      </c>
      <c r="B267" t="s">
        <v>276</v>
      </c>
      <c r="C267" t="s">
        <v>15</v>
      </c>
      <c r="D267" s="4">
        <v>45613</v>
      </c>
      <c r="E267" t="s">
        <v>16</v>
      </c>
      <c r="F267" s="5">
        <v>15</v>
      </c>
      <c r="G267" t="s">
        <v>21</v>
      </c>
      <c r="H267" t="s">
        <v>16</v>
      </c>
      <c r="I267" s="5">
        <v>30</v>
      </c>
      <c r="J267" t="s">
        <v>16</v>
      </c>
      <c r="K267" s="5">
        <v>20</v>
      </c>
      <c r="L267" s="5">
        <v>5</v>
      </c>
      <c r="M267" s="5">
        <v>60</v>
      </c>
    </row>
    <row r="268" spans="1:13" ht="19.05" customHeight="1" x14ac:dyDescent="0.3">
      <c r="A268">
        <v>3497</v>
      </c>
      <c r="B268" t="s">
        <v>277</v>
      </c>
      <c r="C268" t="s">
        <v>23</v>
      </c>
      <c r="D268" s="4">
        <v>45614</v>
      </c>
      <c r="E268" t="s">
        <v>20</v>
      </c>
      <c r="F268" s="5">
        <v>10</v>
      </c>
      <c r="G268" t="s">
        <v>17</v>
      </c>
      <c r="H268" t="s">
        <v>20</v>
      </c>
      <c r="I268" s="5">
        <v>0</v>
      </c>
      <c r="J268" t="s">
        <v>16</v>
      </c>
      <c r="K268" s="5">
        <v>20</v>
      </c>
      <c r="L268" s="5">
        <v>10</v>
      </c>
      <c r="M268" s="5">
        <v>20</v>
      </c>
    </row>
    <row r="269" spans="1:13" ht="19.05" customHeight="1" x14ac:dyDescent="0.3">
      <c r="A269">
        <v>3498</v>
      </c>
      <c r="B269" t="s">
        <v>278</v>
      </c>
      <c r="C269" t="s">
        <v>19</v>
      </c>
      <c r="D269" s="4">
        <v>45615</v>
      </c>
      <c r="E269" t="s">
        <v>16</v>
      </c>
      <c r="F269" s="5">
        <v>5</v>
      </c>
      <c r="G269" t="s">
        <v>24</v>
      </c>
      <c r="H269" t="s">
        <v>20</v>
      </c>
      <c r="I269" s="5">
        <v>0</v>
      </c>
      <c r="J269" t="s">
        <v>20</v>
      </c>
      <c r="K269" s="5">
        <v>0</v>
      </c>
      <c r="L269" s="5">
        <v>0</v>
      </c>
      <c r="M269" s="5">
        <v>5</v>
      </c>
    </row>
    <row r="270" spans="1:13" ht="19.05" customHeight="1" x14ac:dyDescent="0.3">
      <c r="A270">
        <v>3499</v>
      </c>
      <c r="B270" t="s">
        <v>279</v>
      </c>
      <c r="C270" t="s">
        <v>15</v>
      </c>
      <c r="D270" s="4">
        <v>45616</v>
      </c>
      <c r="E270" t="s">
        <v>20</v>
      </c>
      <c r="F270" s="5">
        <v>15</v>
      </c>
      <c r="G270" t="s">
        <v>17</v>
      </c>
      <c r="H270" t="s">
        <v>16</v>
      </c>
      <c r="I270" s="5">
        <v>30</v>
      </c>
      <c r="J270" t="s">
        <v>16</v>
      </c>
      <c r="K270" s="5">
        <v>20</v>
      </c>
      <c r="L270" s="5">
        <v>3</v>
      </c>
      <c r="M270" s="5">
        <v>62</v>
      </c>
    </row>
    <row r="271" spans="1:13" ht="19.05" customHeight="1" x14ac:dyDescent="0.3">
      <c r="A271">
        <v>3500</v>
      </c>
      <c r="B271" t="s">
        <v>280</v>
      </c>
      <c r="C271" t="s">
        <v>23</v>
      </c>
      <c r="D271" s="4">
        <v>45617</v>
      </c>
      <c r="E271" t="s">
        <v>16</v>
      </c>
      <c r="F271" s="5">
        <v>10</v>
      </c>
      <c r="G271" t="s">
        <v>21</v>
      </c>
      <c r="H271" t="s">
        <v>20</v>
      </c>
      <c r="I271" s="5">
        <v>0</v>
      </c>
      <c r="J271" t="s">
        <v>16</v>
      </c>
      <c r="K271" s="5">
        <v>20</v>
      </c>
      <c r="L271" s="5">
        <v>15</v>
      </c>
      <c r="M271" s="5">
        <v>15</v>
      </c>
    </row>
    <row r="272" spans="1:13" ht="19.05" customHeight="1" x14ac:dyDescent="0.3">
      <c r="A272">
        <v>3501</v>
      </c>
      <c r="B272" t="s">
        <v>281</v>
      </c>
      <c r="C272" t="s">
        <v>19</v>
      </c>
      <c r="D272" s="4">
        <v>45618</v>
      </c>
      <c r="E272" t="s">
        <v>20</v>
      </c>
      <c r="F272" s="5">
        <v>5</v>
      </c>
      <c r="G272" t="s">
        <v>17</v>
      </c>
      <c r="H272" t="s">
        <v>20</v>
      </c>
      <c r="I272" s="5">
        <v>0</v>
      </c>
      <c r="J272" t="s">
        <v>20</v>
      </c>
      <c r="K272" s="5">
        <v>0</v>
      </c>
      <c r="L272" s="5">
        <v>1</v>
      </c>
      <c r="M272" s="5">
        <v>4</v>
      </c>
    </row>
    <row r="273" spans="1:13" ht="19.05" customHeight="1" x14ac:dyDescent="0.3">
      <c r="A273">
        <v>3502</v>
      </c>
      <c r="B273" t="s">
        <v>282</v>
      </c>
      <c r="C273" t="s">
        <v>15</v>
      </c>
      <c r="D273" s="4">
        <v>45619</v>
      </c>
      <c r="E273" t="s">
        <v>16</v>
      </c>
      <c r="F273" s="5">
        <v>15</v>
      </c>
      <c r="G273" t="s">
        <v>24</v>
      </c>
      <c r="H273" t="s">
        <v>16</v>
      </c>
      <c r="I273" s="5">
        <v>30</v>
      </c>
      <c r="J273" t="s">
        <v>16</v>
      </c>
      <c r="K273" s="5">
        <v>20</v>
      </c>
      <c r="L273" s="5">
        <v>7</v>
      </c>
      <c r="M273" s="5">
        <v>58</v>
      </c>
    </row>
    <row r="274" spans="1:13" ht="19.05" customHeight="1" x14ac:dyDescent="0.3">
      <c r="A274">
        <v>3503</v>
      </c>
      <c r="B274" t="s">
        <v>141</v>
      </c>
      <c r="C274" t="s">
        <v>23</v>
      </c>
      <c r="D274" s="4">
        <v>45620</v>
      </c>
      <c r="E274" t="s">
        <v>20</v>
      </c>
      <c r="F274" s="5">
        <v>10</v>
      </c>
      <c r="G274" t="s">
        <v>17</v>
      </c>
      <c r="H274" t="s">
        <v>20</v>
      </c>
      <c r="I274" s="5">
        <v>0</v>
      </c>
      <c r="J274" t="s">
        <v>16</v>
      </c>
      <c r="K274" s="5">
        <v>20</v>
      </c>
      <c r="L274" s="5">
        <v>10</v>
      </c>
      <c r="M274" s="5">
        <v>20</v>
      </c>
    </row>
    <row r="275" spans="1:13" ht="19.05" customHeight="1" x14ac:dyDescent="0.3">
      <c r="A275">
        <v>3504</v>
      </c>
      <c r="B275" t="s">
        <v>283</v>
      </c>
      <c r="C275" t="s">
        <v>19</v>
      </c>
      <c r="D275" s="4">
        <v>45621</v>
      </c>
      <c r="E275" t="s">
        <v>16</v>
      </c>
      <c r="F275" s="5">
        <v>5</v>
      </c>
      <c r="G275" t="s">
        <v>21</v>
      </c>
      <c r="H275" t="s">
        <v>20</v>
      </c>
      <c r="I275" s="5">
        <v>0</v>
      </c>
      <c r="J275" t="s">
        <v>20</v>
      </c>
      <c r="K275" s="5">
        <v>0</v>
      </c>
      <c r="L275" s="5">
        <v>0</v>
      </c>
      <c r="M275" s="5">
        <v>5</v>
      </c>
    </row>
    <row r="276" spans="1:13" ht="19.05" customHeight="1" x14ac:dyDescent="0.3">
      <c r="A276">
        <v>3505</v>
      </c>
      <c r="B276" t="s">
        <v>284</v>
      </c>
      <c r="C276" t="s">
        <v>15</v>
      </c>
      <c r="D276" s="4">
        <v>45622</v>
      </c>
      <c r="E276" t="s">
        <v>20</v>
      </c>
      <c r="F276" s="5">
        <v>15</v>
      </c>
      <c r="G276" t="s">
        <v>17</v>
      </c>
      <c r="H276" t="s">
        <v>16</v>
      </c>
      <c r="I276" s="5">
        <v>30</v>
      </c>
      <c r="J276" t="s">
        <v>16</v>
      </c>
      <c r="K276" s="5">
        <v>20</v>
      </c>
      <c r="L276" s="5">
        <v>20</v>
      </c>
      <c r="M276" s="5">
        <v>45</v>
      </c>
    </row>
    <row r="277" spans="1:13" ht="19.05" customHeight="1" x14ac:dyDescent="0.3">
      <c r="A277">
        <v>3506</v>
      </c>
      <c r="B277" t="s">
        <v>285</v>
      </c>
      <c r="C277" t="s">
        <v>23</v>
      </c>
      <c r="D277" s="4">
        <v>45623</v>
      </c>
      <c r="E277" t="s">
        <v>16</v>
      </c>
      <c r="F277" s="5">
        <v>10</v>
      </c>
      <c r="G277" t="s">
        <v>24</v>
      </c>
      <c r="H277" t="s">
        <v>20</v>
      </c>
      <c r="I277" s="5">
        <v>0</v>
      </c>
      <c r="J277" t="s">
        <v>16</v>
      </c>
      <c r="K277" s="5">
        <v>20</v>
      </c>
      <c r="L277" s="5">
        <v>15</v>
      </c>
      <c r="M277" s="5">
        <v>15</v>
      </c>
    </row>
    <row r="278" spans="1:13" ht="19.05" customHeight="1" x14ac:dyDescent="0.3">
      <c r="A278">
        <v>3507</v>
      </c>
      <c r="B278" t="s">
        <v>286</v>
      </c>
      <c r="C278" t="s">
        <v>19</v>
      </c>
      <c r="D278" s="4">
        <v>45624</v>
      </c>
      <c r="E278" t="s">
        <v>20</v>
      </c>
      <c r="F278" s="5">
        <v>5</v>
      </c>
      <c r="G278" t="s">
        <v>17</v>
      </c>
      <c r="H278" t="s">
        <v>20</v>
      </c>
      <c r="I278" s="5">
        <v>0</v>
      </c>
      <c r="J278" t="s">
        <v>20</v>
      </c>
      <c r="K278" s="5">
        <v>0</v>
      </c>
      <c r="L278" s="5">
        <v>1</v>
      </c>
      <c r="M278" s="5">
        <v>4</v>
      </c>
    </row>
    <row r="279" spans="1:13" ht="19.05" customHeight="1" x14ac:dyDescent="0.3">
      <c r="A279">
        <v>3508</v>
      </c>
      <c r="B279" t="s">
        <v>287</v>
      </c>
      <c r="C279" t="s">
        <v>15</v>
      </c>
      <c r="D279" s="4">
        <v>45625</v>
      </c>
      <c r="E279" t="s">
        <v>16</v>
      </c>
      <c r="F279" s="5">
        <v>15</v>
      </c>
      <c r="G279" t="s">
        <v>21</v>
      </c>
      <c r="H279" t="s">
        <v>16</v>
      </c>
      <c r="I279" s="5">
        <v>30</v>
      </c>
      <c r="J279" t="s">
        <v>16</v>
      </c>
      <c r="K279" s="5">
        <v>20</v>
      </c>
      <c r="L279" s="5">
        <v>3</v>
      </c>
      <c r="M279" s="5">
        <v>62</v>
      </c>
    </row>
    <row r="280" spans="1:13" ht="19.05" customHeight="1" x14ac:dyDescent="0.3">
      <c r="A280">
        <v>3509</v>
      </c>
      <c r="B280" t="s">
        <v>288</v>
      </c>
      <c r="C280" t="s">
        <v>23</v>
      </c>
      <c r="D280" s="4">
        <v>45626</v>
      </c>
      <c r="E280" t="s">
        <v>20</v>
      </c>
      <c r="F280" s="5">
        <v>10</v>
      </c>
      <c r="G280" t="s">
        <v>17</v>
      </c>
      <c r="H280" t="s">
        <v>20</v>
      </c>
      <c r="I280" s="5">
        <v>0</v>
      </c>
      <c r="J280" t="s">
        <v>16</v>
      </c>
      <c r="K280" s="5">
        <v>20</v>
      </c>
      <c r="L280" s="5">
        <v>10</v>
      </c>
      <c r="M280" s="5">
        <v>20</v>
      </c>
    </row>
    <row r="281" spans="1:13" ht="19.05" customHeight="1" x14ac:dyDescent="0.3">
      <c r="A281">
        <v>3510</v>
      </c>
      <c r="B281" t="s">
        <v>289</v>
      </c>
      <c r="C281" t="s">
        <v>19</v>
      </c>
      <c r="D281" s="4">
        <v>45627</v>
      </c>
      <c r="E281" t="s">
        <v>16</v>
      </c>
      <c r="F281" s="5">
        <v>5</v>
      </c>
      <c r="G281" t="s">
        <v>24</v>
      </c>
      <c r="H281" t="s">
        <v>20</v>
      </c>
      <c r="I281" s="5">
        <v>0</v>
      </c>
      <c r="J281" t="s">
        <v>20</v>
      </c>
      <c r="K281" s="5">
        <v>0</v>
      </c>
      <c r="L281" s="5">
        <v>0</v>
      </c>
      <c r="M281" s="5">
        <v>5</v>
      </c>
    </row>
    <row r="282" spans="1:13" ht="19.05" customHeight="1" x14ac:dyDescent="0.3">
      <c r="A282">
        <v>3511</v>
      </c>
      <c r="B282" t="s">
        <v>290</v>
      </c>
      <c r="C282" t="s">
        <v>15</v>
      </c>
      <c r="D282" s="4">
        <v>45628</v>
      </c>
      <c r="E282" t="s">
        <v>20</v>
      </c>
      <c r="F282" s="5">
        <v>15</v>
      </c>
      <c r="G282" t="s">
        <v>17</v>
      </c>
      <c r="H282" t="s">
        <v>16</v>
      </c>
      <c r="I282" s="5">
        <v>30</v>
      </c>
      <c r="J282" t="s">
        <v>16</v>
      </c>
      <c r="K282" s="5">
        <v>20</v>
      </c>
      <c r="L282" s="5">
        <v>15</v>
      </c>
      <c r="M282" s="5">
        <v>50</v>
      </c>
    </row>
    <row r="283" spans="1:13" ht="19.05" customHeight="1" x14ac:dyDescent="0.3">
      <c r="A283">
        <v>3512</v>
      </c>
      <c r="B283" t="s">
        <v>291</v>
      </c>
      <c r="C283" t="s">
        <v>23</v>
      </c>
      <c r="D283" s="4">
        <v>45629</v>
      </c>
      <c r="E283" t="s">
        <v>16</v>
      </c>
      <c r="F283" s="5">
        <v>10</v>
      </c>
      <c r="G283" t="s">
        <v>21</v>
      </c>
      <c r="H283" t="s">
        <v>20</v>
      </c>
      <c r="I283" s="5">
        <v>0</v>
      </c>
      <c r="J283" t="s">
        <v>16</v>
      </c>
      <c r="K283" s="5">
        <v>20</v>
      </c>
      <c r="L283" s="5">
        <v>15</v>
      </c>
      <c r="M283" s="5">
        <v>15</v>
      </c>
    </row>
    <row r="284" spans="1:13" ht="19.05" customHeight="1" x14ac:dyDescent="0.3">
      <c r="A284">
        <v>3513</v>
      </c>
      <c r="B284" t="s">
        <v>292</v>
      </c>
      <c r="C284" t="s">
        <v>19</v>
      </c>
      <c r="D284" s="4">
        <v>45630</v>
      </c>
      <c r="E284" t="s">
        <v>20</v>
      </c>
      <c r="F284" s="5">
        <v>5</v>
      </c>
      <c r="G284" t="s">
        <v>17</v>
      </c>
      <c r="H284" t="s">
        <v>20</v>
      </c>
      <c r="I284" s="5">
        <v>0</v>
      </c>
      <c r="J284" t="s">
        <v>20</v>
      </c>
      <c r="K284" s="5">
        <v>0</v>
      </c>
      <c r="L284" s="5">
        <v>1</v>
      </c>
      <c r="M284" s="5">
        <v>4</v>
      </c>
    </row>
    <row r="285" spans="1:13" ht="19.05" customHeight="1" x14ac:dyDescent="0.3">
      <c r="A285">
        <v>3514</v>
      </c>
      <c r="B285" t="s">
        <v>293</v>
      </c>
      <c r="C285" t="s">
        <v>15</v>
      </c>
      <c r="D285" s="4">
        <v>45631</v>
      </c>
      <c r="E285" t="s">
        <v>16</v>
      </c>
      <c r="F285" s="5">
        <v>15</v>
      </c>
      <c r="G285" t="s">
        <v>24</v>
      </c>
      <c r="H285" t="s">
        <v>16</v>
      </c>
      <c r="I285" s="5">
        <v>30</v>
      </c>
      <c r="J285" t="s">
        <v>16</v>
      </c>
      <c r="K285" s="5">
        <v>20</v>
      </c>
      <c r="L285" s="5">
        <v>7</v>
      </c>
      <c r="M285" s="5">
        <v>58</v>
      </c>
    </row>
    <row r="286" spans="1:13" ht="19.05" customHeight="1" x14ac:dyDescent="0.3">
      <c r="A286">
        <v>3515</v>
      </c>
      <c r="B286" t="s">
        <v>152</v>
      </c>
      <c r="C286" t="s">
        <v>23</v>
      </c>
      <c r="D286" s="4">
        <v>45632</v>
      </c>
      <c r="E286" t="s">
        <v>20</v>
      </c>
      <c r="F286" s="5">
        <v>10</v>
      </c>
      <c r="G286" t="s">
        <v>17</v>
      </c>
      <c r="H286" t="s">
        <v>20</v>
      </c>
      <c r="I286" s="5">
        <v>0</v>
      </c>
      <c r="J286" t="s">
        <v>16</v>
      </c>
      <c r="K286" s="5">
        <v>20</v>
      </c>
      <c r="L286" s="5">
        <v>10</v>
      </c>
      <c r="M286" s="5">
        <v>20</v>
      </c>
    </row>
    <row r="287" spans="1:13" ht="19.05" customHeight="1" x14ac:dyDescent="0.3">
      <c r="A287">
        <v>3516</v>
      </c>
      <c r="B287" t="s">
        <v>153</v>
      </c>
      <c r="C287" t="s">
        <v>19</v>
      </c>
      <c r="D287" s="4">
        <v>45633</v>
      </c>
      <c r="E287" t="s">
        <v>16</v>
      </c>
      <c r="F287" s="5">
        <v>5</v>
      </c>
      <c r="G287" t="s">
        <v>21</v>
      </c>
      <c r="H287" t="s">
        <v>20</v>
      </c>
      <c r="I287" s="5">
        <v>0</v>
      </c>
      <c r="J287" t="s">
        <v>20</v>
      </c>
      <c r="K287" s="5">
        <v>0</v>
      </c>
      <c r="L287" s="5">
        <v>0</v>
      </c>
      <c r="M287" s="5">
        <v>5</v>
      </c>
    </row>
    <row r="288" spans="1:13" ht="19.05" customHeight="1" x14ac:dyDescent="0.3">
      <c r="A288">
        <v>3517</v>
      </c>
      <c r="B288" t="s">
        <v>203</v>
      </c>
      <c r="C288" t="s">
        <v>15</v>
      </c>
      <c r="D288" s="4">
        <v>45634</v>
      </c>
      <c r="E288" t="s">
        <v>20</v>
      </c>
      <c r="F288" s="5">
        <v>15</v>
      </c>
      <c r="G288" t="s">
        <v>17</v>
      </c>
      <c r="H288" t="s">
        <v>16</v>
      </c>
      <c r="I288" s="5">
        <v>30</v>
      </c>
      <c r="J288" t="s">
        <v>16</v>
      </c>
      <c r="K288" s="5">
        <v>20</v>
      </c>
      <c r="L288" s="5">
        <v>20</v>
      </c>
      <c r="M288" s="5">
        <v>45</v>
      </c>
    </row>
    <row r="289" spans="1:13" ht="19.05" customHeight="1" x14ac:dyDescent="0.3">
      <c r="A289">
        <v>3518</v>
      </c>
      <c r="B289" t="s">
        <v>294</v>
      </c>
      <c r="C289" t="s">
        <v>23</v>
      </c>
      <c r="D289" s="4">
        <v>45635</v>
      </c>
      <c r="E289" t="s">
        <v>16</v>
      </c>
      <c r="F289" s="5">
        <v>10</v>
      </c>
      <c r="G289" t="s">
        <v>24</v>
      </c>
      <c r="H289" t="s">
        <v>20</v>
      </c>
      <c r="I289" s="5">
        <v>0</v>
      </c>
      <c r="J289" t="s">
        <v>16</v>
      </c>
      <c r="K289" s="5">
        <v>20</v>
      </c>
      <c r="L289" s="5">
        <v>12</v>
      </c>
      <c r="M289" s="5">
        <v>18</v>
      </c>
    </row>
    <row r="290" spans="1:13" ht="19.05" customHeight="1" x14ac:dyDescent="0.3">
      <c r="A290">
        <v>3519</v>
      </c>
      <c r="B290" t="s">
        <v>295</v>
      </c>
      <c r="C290" t="s">
        <v>19</v>
      </c>
      <c r="D290" s="4">
        <v>45636</v>
      </c>
      <c r="E290" t="s">
        <v>20</v>
      </c>
      <c r="F290" s="5">
        <v>5</v>
      </c>
      <c r="G290" t="s">
        <v>17</v>
      </c>
      <c r="H290" t="s">
        <v>20</v>
      </c>
      <c r="I290" s="5">
        <v>0</v>
      </c>
      <c r="J290" t="s">
        <v>20</v>
      </c>
      <c r="K290" s="5">
        <v>0</v>
      </c>
      <c r="L290" s="5">
        <v>2</v>
      </c>
      <c r="M290" s="5">
        <v>3</v>
      </c>
    </row>
    <row r="291" spans="1:13" ht="19.05" customHeight="1" x14ac:dyDescent="0.3">
      <c r="A291">
        <v>3520</v>
      </c>
      <c r="B291" t="s">
        <v>296</v>
      </c>
      <c r="C291" t="s">
        <v>15</v>
      </c>
      <c r="D291" s="4">
        <v>45637</v>
      </c>
      <c r="E291" t="s">
        <v>16</v>
      </c>
      <c r="F291" s="5">
        <v>15</v>
      </c>
      <c r="G291" t="s">
        <v>21</v>
      </c>
      <c r="H291" t="s">
        <v>16</v>
      </c>
      <c r="I291" s="5">
        <v>30</v>
      </c>
      <c r="J291" t="s">
        <v>16</v>
      </c>
      <c r="K291" s="5">
        <v>20</v>
      </c>
      <c r="L291" s="5">
        <v>5</v>
      </c>
      <c r="M291" s="5">
        <v>60</v>
      </c>
    </row>
    <row r="292" spans="1:13" ht="19.05" customHeight="1" x14ac:dyDescent="0.3">
      <c r="A292">
        <v>3521</v>
      </c>
      <c r="B292" t="s">
        <v>297</v>
      </c>
      <c r="C292" t="s">
        <v>23</v>
      </c>
      <c r="D292" s="4">
        <v>45638</v>
      </c>
      <c r="E292" t="s">
        <v>20</v>
      </c>
      <c r="F292" s="5">
        <v>10</v>
      </c>
      <c r="G292" t="s">
        <v>17</v>
      </c>
      <c r="H292" t="s">
        <v>20</v>
      </c>
      <c r="I292" s="5">
        <v>0</v>
      </c>
      <c r="J292" t="s">
        <v>16</v>
      </c>
      <c r="K292" s="5">
        <v>20</v>
      </c>
      <c r="L292" s="5">
        <v>10</v>
      </c>
      <c r="M292" s="5">
        <v>20</v>
      </c>
    </row>
    <row r="293" spans="1:13" ht="19.05" customHeight="1" x14ac:dyDescent="0.3">
      <c r="A293">
        <v>3522</v>
      </c>
      <c r="B293" t="s">
        <v>298</v>
      </c>
      <c r="C293" t="s">
        <v>19</v>
      </c>
      <c r="D293" s="4">
        <v>45639</v>
      </c>
      <c r="E293" t="s">
        <v>16</v>
      </c>
      <c r="F293" s="5">
        <v>5</v>
      </c>
      <c r="G293" t="s">
        <v>24</v>
      </c>
      <c r="H293" t="s">
        <v>20</v>
      </c>
      <c r="I293" s="5">
        <v>0</v>
      </c>
      <c r="J293" t="s">
        <v>20</v>
      </c>
      <c r="K293" s="5">
        <v>0</v>
      </c>
      <c r="L293" s="5">
        <v>0</v>
      </c>
      <c r="M293" s="5">
        <v>5</v>
      </c>
    </row>
    <row r="294" spans="1:13" ht="19.05" customHeight="1" x14ac:dyDescent="0.3">
      <c r="A294">
        <v>3523</v>
      </c>
      <c r="B294" t="s">
        <v>299</v>
      </c>
      <c r="C294" t="s">
        <v>15</v>
      </c>
      <c r="D294" s="4">
        <v>45640</v>
      </c>
      <c r="E294" t="s">
        <v>20</v>
      </c>
      <c r="F294" s="5">
        <v>15</v>
      </c>
      <c r="G294" t="s">
        <v>17</v>
      </c>
      <c r="H294" t="s">
        <v>16</v>
      </c>
      <c r="I294" s="5">
        <v>30</v>
      </c>
      <c r="J294" t="s">
        <v>16</v>
      </c>
      <c r="K294" s="5">
        <v>20</v>
      </c>
      <c r="L294" s="5">
        <v>3</v>
      </c>
      <c r="M294" s="5">
        <v>62</v>
      </c>
    </row>
    <row r="295" spans="1:13" ht="19.05" customHeight="1" x14ac:dyDescent="0.3">
      <c r="A295">
        <v>3524</v>
      </c>
      <c r="B295" t="s">
        <v>300</v>
      </c>
      <c r="C295" t="s">
        <v>23</v>
      </c>
      <c r="D295" s="4">
        <v>45641</v>
      </c>
      <c r="E295" t="s">
        <v>16</v>
      </c>
      <c r="F295" s="5">
        <v>10</v>
      </c>
      <c r="G295" t="s">
        <v>21</v>
      </c>
      <c r="H295" t="s">
        <v>20</v>
      </c>
      <c r="I295" s="5">
        <v>0</v>
      </c>
      <c r="J295" t="s">
        <v>16</v>
      </c>
      <c r="K295" s="5">
        <v>20</v>
      </c>
      <c r="L295" s="5">
        <v>15</v>
      </c>
      <c r="M295" s="5">
        <v>15</v>
      </c>
    </row>
    <row r="296" spans="1:13" ht="19.05" customHeight="1" x14ac:dyDescent="0.3">
      <c r="A296">
        <v>3525</v>
      </c>
      <c r="B296" t="s">
        <v>301</v>
      </c>
      <c r="C296" t="s">
        <v>19</v>
      </c>
      <c r="D296" s="4">
        <v>45642</v>
      </c>
      <c r="E296" t="s">
        <v>20</v>
      </c>
      <c r="F296" s="5">
        <v>5</v>
      </c>
      <c r="G296" t="s">
        <v>17</v>
      </c>
      <c r="H296" t="s">
        <v>20</v>
      </c>
      <c r="I296" s="5">
        <v>0</v>
      </c>
      <c r="J296" t="s">
        <v>20</v>
      </c>
      <c r="K296" s="5">
        <v>0</v>
      </c>
      <c r="L296" s="5">
        <v>1</v>
      </c>
      <c r="M296" s="5">
        <v>4</v>
      </c>
    </row>
  </sheetData>
  <conditionalFormatting sqref="M2:M29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{E358C68F-3297-4052-82D3-6555FBC626F1}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58C68F-3297-4052-82D3-6555FBC626F1}">
            <x14:dataBar minLength="0" maxLength="100" negativeBarColorSameAsPositive="1" axisPosition="none">
              <x14:cfvo type="min"/>
              <x14:cfvo type="max"/>
            </x14:dataBar>
          </x14:cfRule>
          <xm:sqref>M2:M296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5F6F-0F21-449D-9306-141CB1E53F67}">
  <dimension ref="A1:M26"/>
  <sheetViews>
    <sheetView showGridLines="0" workbookViewId="0">
      <selection sqref="A1:M2"/>
    </sheetView>
  </sheetViews>
  <sheetFormatPr defaultRowHeight="14.4" x14ac:dyDescent="0.3"/>
  <cols>
    <col min="1" max="1" width="18.77734375" bestFit="1" customWidth="1"/>
    <col min="2" max="2" width="11.5546875" bestFit="1" customWidth="1"/>
    <col min="4" max="4" width="22.21875" bestFit="1" customWidth="1"/>
    <col min="5" max="5" width="11.5546875" bestFit="1" customWidth="1"/>
    <col min="6" max="6" width="10.88671875" bestFit="1" customWidth="1"/>
    <col min="8" max="8" width="18" bestFit="1" customWidth="1"/>
    <col min="9" max="9" width="11.5546875" bestFit="1" customWidth="1"/>
    <col min="10" max="10" width="10.88671875" bestFit="1" customWidth="1"/>
  </cols>
  <sheetData>
    <row r="1" spans="1:13" ht="22.0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2.0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3">
      <c r="A4" s="6" t="s">
        <v>302</v>
      </c>
      <c r="B4" s="6" t="s">
        <v>303</v>
      </c>
      <c r="C4" s="7"/>
      <c r="D4" s="6" t="s">
        <v>3</v>
      </c>
      <c r="E4" s="6" t="s">
        <v>311</v>
      </c>
      <c r="F4" s="6" t="s">
        <v>305</v>
      </c>
      <c r="G4" s="7"/>
      <c r="H4" s="6" t="s">
        <v>7</v>
      </c>
      <c r="I4" s="6" t="s">
        <v>311</v>
      </c>
      <c r="J4" s="6" t="s">
        <v>305</v>
      </c>
    </row>
    <row r="5" spans="1:13" x14ac:dyDescent="0.3">
      <c r="A5" s="7" t="s">
        <v>304</v>
      </c>
      <c r="B5" s="8">
        <f>SUM(Dados!$M$2:$M$296)</f>
        <v>7633</v>
      </c>
      <c r="C5" s="7"/>
      <c r="D5" s="7" t="s">
        <v>19</v>
      </c>
      <c r="E5" s="8">
        <f>SUMIFS(Dados!$M$2:$M$296,Dados!$C$2:$C$296,D5)</f>
        <v>444</v>
      </c>
      <c r="F5" s="7">
        <f>COUNTIF(Dados!$C$2:$C$296,D5)</f>
        <v>101</v>
      </c>
      <c r="G5" s="7"/>
      <c r="H5" s="7" t="s">
        <v>17</v>
      </c>
      <c r="I5" s="8">
        <f>SUMIFS(Dados!$M$2:$M$296,Dados!$G$2:$G$296,H5)</f>
        <v>3571</v>
      </c>
      <c r="J5" s="7">
        <f>COUNTIF(Dados!$G$2:$G$296,H5)</f>
        <v>139</v>
      </c>
    </row>
    <row r="6" spans="1:13" x14ac:dyDescent="0.3">
      <c r="A6" s="7" t="s">
        <v>305</v>
      </c>
      <c r="B6" s="9">
        <f>COUNTA(Dados!$A$2:$A$296)</f>
        <v>295</v>
      </c>
      <c r="C6" s="7"/>
      <c r="D6" s="7" t="s">
        <v>23</v>
      </c>
      <c r="E6" s="8">
        <f>SUMIFS(Dados!$M$2:$M$296,Dados!$C$2:$C$296,D6)</f>
        <v>1801</v>
      </c>
      <c r="F6" s="7">
        <f>COUNTIF(Dados!$C$2:$C$296,D6)</f>
        <v>96</v>
      </c>
      <c r="G6" s="7"/>
      <c r="H6" s="7" t="s">
        <v>24</v>
      </c>
      <c r="I6" s="8">
        <f>SUMIFS(Dados!$M$2:$M$296,Dados!$G$2:$G$296,H6)</f>
        <v>2308</v>
      </c>
      <c r="J6" s="7">
        <f>COUNTIF(Dados!$G$2:$G$296,H6)</f>
        <v>85</v>
      </c>
    </row>
    <row r="7" spans="1:13" x14ac:dyDescent="0.3">
      <c r="A7" s="7" t="s">
        <v>306</v>
      </c>
      <c r="B7" s="8">
        <f>B5/B6</f>
        <v>25.874576271186442</v>
      </c>
      <c r="C7" s="7"/>
      <c r="D7" s="7" t="s">
        <v>15</v>
      </c>
      <c r="E7" s="8">
        <f>SUMIFS(Dados!$M$2:$M$296,Dados!$C$2:$C$296,D7)</f>
        <v>5388</v>
      </c>
      <c r="F7" s="7">
        <f>COUNTIF(Dados!$C$2:$C$296,D7)</f>
        <v>98</v>
      </c>
      <c r="G7" s="7"/>
      <c r="H7" s="7" t="s">
        <v>21</v>
      </c>
      <c r="I7" s="8">
        <f>SUMIFS(Dados!$M$2:$M$296,Dados!$G$2:$G$296,H7)</f>
        <v>1754</v>
      </c>
      <c r="J7" s="7">
        <f>COUNTIF(Dados!$G$2:$G$296,H7)</f>
        <v>71</v>
      </c>
    </row>
    <row r="8" spans="1:13" x14ac:dyDescent="0.3">
      <c r="A8" s="7" t="s">
        <v>307</v>
      </c>
      <c r="B8" s="10">
        <f>COUNTIF(Dados!$E$2:$E$296,"Yes")/B6</f>
        <v>0.50169491525423726</v>
      </c>
      <c r="C8" s="7"/>
      <c r="D8" s="7" t="s">
        <v>312</v>
      </c>
      <c r="E8" s="8">
        <f>SUM(E5:E7)</f>
        <v>7633</v>
      </c>
      <c r="F8" s="7">
        <f>SUM(F5:F7)</f>
        <v>295</v>
      </c>
      <c r="G8" s="7"/>
      <c r="H8" s="7" t="s">
        <v>312</v>
      </c>
      <c r="I8" s="8">
        <f>SUM(I5:I7)</f>
        <v>7633</v>
      </c>
      <c r="J8" s="7">
        <f>SUM(J5:J7)</f>
        <v>295</v>
      </c>
    </row>
    <row r="9" spans="1:13" x14ac:dyDescent="0.3">
      <c r="A9" s="7" t="s">
        <v>308</v>
      </c>
      <c r="B9" s="8">
        <f>SUM(Dados!$I$2:$I$296)</f>
        <v>2940</v>
      </c>
      <c r="C9" s="7"/>
      <c r="D9" s="7"/>
      <c r="E9" s="8"/>
      <c r="F9" s="7"/>
      <c r="G9" s="7"/>
      <c r="H9" s="7"/>
      <c r="I9" s="7"/>
      <c r="J9" s="7"/>
    </row>
    <row r="10" spans="1:13" x14ac:dyDescent="0.3">
      <c r="A10" s="7" t="s">
        <v>309</v>
      </c>
      <c r="B10" s="8">
        <f>SUM(Dados!$K$2:$K$296)</f>
        <v>3880</v>
      </c>
      <c r="C10" s="7"/>
      <c r="D10" s="7"/>
      <c r="E10" s="8"/>
      <c r="F10" s="7"/>
      <c r="G10" s="7"/>
      <c r="H10" s="7"/>
      <c r="I10" s="7"/>
      <c r="J10" s="7"/>
    </row>
    <row r="11" spans="1:13" x14ac:dyDescent="0.3">
      <c r="A11" s="7" t="s">
        <v>310</v>
      </c>
      <c r="B11" s="8">
        <f>SUM(Dados!$L$2:$L$296)</f>
        <v>2122</v>
      </c>
      <c r="C11" s="7"/>
      <c r="D11" s="6" t="s">
        <v>5</v>
      </c>
      <c r="E11" s="11" t="s">
        <v>311</v>
      </c>
      <c r="F11" s="6" t="s">
        <v>305</v>
      </c>
      <c r="G11" s="7"/>
      <c r="H11" s="7"/>
      <c r="I11" s="7"/>
      <c r="J11" s="7"/>
    </row>
    <row r="12" spans="1:13" x14ac:dyDescent="0.3">
      <c r="A12" s="7"/>
      <c r="B12" s="7"/>
      <c r="C12" s="7"/>
      <c r="D12" s="7" t="s">
        <v>16</v>
      </c>
      <c r="E12" s="8">
        <f>SUMIFS(Dados!$M$2:$M$296,Dados!$E$2:$E$296,D12)</f>
        <v>3786</v>
      </c>
      <c r="F12" s="7">
        <f>COUNTIF(Dados!$E$2:$E$296,D12)</f>
        <v>148</v>
      </c>
      <c r="G12" s="7"/>
      <c r="H12" s="7"/>
      <c r="I12" s="7"/>
      <c r="J12" s="7"/>
    </row>
    <row r="13" spans="1:13" x14ac:dyDescent="0.3">
      <c r="A13" s="7"/>
      <c r="B13" s="7"/>
      <c r="C13" s="7"/>
      <c r="D13" s="7" t="s">
        <v>20</v>
      </c>
      <c r="E13" s="8">
        <f>SUMIFS(Dados!$M$2:$M$296,Dados!$E$2:$E$296,D13)</f>
        <v>3847</v>
      </c>
      <c r="F13" s="7">
        <f>COUNTIF(Dados!$E$2:$E$296,D13)</f>
        <v>147</v>
      </c>
      <c r="G13" s="7"/>
      <c r="H13" s="7"/>
      <c r="I13" s="7"/>
      <c r="J13" s="7"/>
    </row>
    <row r="14" spans="1:13" x14ac:dyDescent="0.3">
      <c r="A14" s="6" t="s">
        <v>313</v>
      </c>
      <c r="B14" s="6" t="s">
        <v>311</v>
      </c>
      <c r="C14" s="7"/>
      <c r="D14" s="7" t="s">
        <v>312</v>
      </c>
      <c r="E14" s="8">
        <f>SUM(E12:E13)</f>
        <v>7633</v>
      </c>
      <c r="F14" s="7">
        <f>SUM(F12:F13)</f>
        <v>295</v>
      </c>
      <c r="G14" s="7"/>
      <c r="H14" s="7"/>
      <c r="I14" s="7"/>
      <c r="J14" s="7"/>
    </row>
    <row r="15" spans="1:13" x14ac:dyDescent="0.3">
      <c r="A15" s="12">
        <v>45292</v>
      </c>
      <c r="B15" s="8">
        <f>SUMIFS(Dados!$M$2:$M$296,Dados!$D$2:$D$296,"&gt;="&amp;A15,Dados!$D$2:$D$296,"&lt;"&amp;EDATE(A15,1))</f>
        <v>65</v>
      </c>
      <c r="C15" s="7"/>
      <c r="D15" s="7"/>
      <c r="E15" s="7"/>
      <c r="F15" s="7"/>
      <c r="G15" s="7"/>
      <c r="H15" s="7"/>
      <c r="I15" s="7"/>
      <c r="J15" s="7"/>
    </row>
    <row r="16" spans="1:13" x14ac:dyDescent="0.3">
      <c r="A16" s="12">
        <v>45323</v>
      </c>
      <c r="B16" s="8">
        <f>SUMIFS(Dados!$M$2:$M$296,Dados!$D$2:$D$296,"&gt;="&amp;A16,Dados!$D$2:$D$296,"&lt;"&amp;EDATE(A16,1))</f>
        <v>82</v>
      </c>
      <c r="C16" s="7"/>
      <c r="D16" s="7"/>
      <c r="E16" s="7"/>
      <c r="F16" s="7"/>
      <c r="G16" s="7"/>
      <c r="H16" s="7"/>
      <c r="I16" s="7"/>
      <c r="J16" s="7"/>
    </row>
    <row r="17" spans="1:10" x14ac:dyDescent="0.3">
      <c r="A17" s="12">
        <v>45352</v>
      </c>
      <c r="B17" s="8">
        <f>SUMIFS(Dados!$M$2:$M$296,Dados!$D$2:$D$296,"&gt;="&amp;A17,Dados!$D$2:$D$296,"&lt;"&amp;EDATE(A17,1))</f>
        <v>801</v>
      </c>
      <c r="C17" s="7"/>
      <c r="D17" s="7"/>
      <c r="E17" s="7"/>
      <c r="F17" s="7"/>
      <c r="G17" s="7"/>
      <c r="H17" s="7"/>
      <c r="I17" s="7"/>
      <c r="J17" s="7"/>
    </row>
    <row r="18" spans="1:10" x14ac:dyDescent="0.3">
      <c r="A18" s="12">
        <v>45383</v>
      </c>
      <c r="B18" s="8">
        <f>SUMIFS(Dados!$M$2:$M$296,Dados!$D$2:$D$296,"&gt;="&amp;A18,Dados!$D$2:$D$296,"&lt;"&amp;EDATE(A18,1))</f>
        <v>782</v>
      </c>
      <c r="C18" s="7"/>
      <c r="D18" s="7"/>
      <c r="E18" s="7"/>
      <c r="F18" s="7"/>
      <c r="G18" s="7"/>
      <c r="H18" s="7"/>
      <c r="I18" s="7"/>
      <c r="J18" s="7"/>
    </row>
    <row r="19" spans="1:10" x14ac:dyDescent="0.3">
      <c r="A19" s="12">
        <v>45413</v>
      </c>
      <c r="B19" s="8">
        <f>SUMIFS(Dados!$M$2:$M$296,Dados!$D$2:$D$296,"&gt;="&amp;A19,Dados!$D$2:$D$296,"&lt;"&amp;EDATE(A19,1))</f>
        <v>777</v>
      </c>
      <c r="C19" s="7"/>
      <c r="D19" s="7"/>
      <c r="E19" s="7"/>
      <c r="F19" s="7"/>
      <c r="G19" s="7"/>
      <c r="H19" s="7"/>
      <c r="I19" s="7"/>
      <c r="J19" s="7"/>
    </row>
    <row r="20" spans="1:10" x14ac:dyDescent="0.3">
      <c r="A20" s="12">
        <v>45444</v>
      </c>
      <c r="B20" s="8">
        <f>SUMIFS(Dados!$M$2:$M$296,Dados!$D$2:$D$296,"&gt;="&amp;A20,Dados!$D$2:$D$296,"&lt;"&amp;EDATE(A20,1))</f>
        <v>770</v>
      </c>
      <c r="C20" s="7"/>
      <c r="D20" s="7"/>
      <c r="E20" s="7"/>
      <c r="F20" s="7"/>
      <c r="G20" s="7"/>
      <c r="H20" s="7"/>
      <c r="I20" s="7"/>
      <c r="J20" s="7"/>
    </row>
    <row r="21" spans="1:10" x14ac:dyDescent="0.3">
      <c r="A21" s="12">
        <v>45474</v>
      </c>
      <c r="B21" s="8">
        <f>SUMIFS(Dados!$M$2:$M$296,Dados!$D$2:$D$296,"&gt;="&amp;A21,Dados!$D$2:$D$296,"&lt;"&amp;EDATE(A21,1))</f>
        <v>784</v>
      </c>
      <c r="C21" s="7"/>
      <c r="D21" s="7"/>
      <c r="E21" s="7"/>
      <c r="F21" s="7"/>
      <c r="G21" s="7"/>
      <c r="H21" s="7"/>
      <c r="I21" s="7"/>
      <c r="J21" s="7"/>
    </row>
    <row r="22" spans="1:10" x14ac:dyDescent="0.3">
      <c r="A22" s="12">
        <v>45505</v>
      </c>
      <c r="B22" s="8">
        <f>SUMIFS(Dados!$M$2:$M$296,Dados!$D$2:$D$296,"&gt;="&amp;A22,Dados!$D$2:$D$296,"&lt;"&amp;EDATE(A22,1))</f>
        <v>787</v>
      </c>
      <c r="C22" s="7"/>
      <c r="D22" s="7"/>
      <c r="E22" s="7"/>
      <c r="F22" s="7"/>
      <c r="G22" s="7"/>
      <c r="H22" s="7"/>
      <c r="I22" s="7"/>
      <c r="J22" s="7"/>
    </row>
    <row r="23" spans="1:10" x14ac:dyDescent="0.3">
      <c r="A23" s="12">
        <v>45536</v>
      </c>
      <c r="B23" s="8">
        <f>SUMIFS(Dados!$M$2:$M$296,Dados!$D$2:$D$296,"&gt;="&amp;A23,Dados!$D$2:$D$296,"&lt;"&amp;EDATE(A23,1))</f>
        <v>780</v>
      </c>
      <c r="C23" s="7"/>
      <c r="D23" s="7"/>
      <c r="E23" s="7"/>
      <c r="F23" s="7"/>
      <c r="G23" s="7"/>
      <c r="H23" s="7"/>
      <c r="I23" s="7"/>
      <c r="J23" s="7"/>
    </row>
    <row r="24" spans="1:10" x14ac:dyDescent="0.3">
      <c r="A24" s="12">
        <v>45566</v>
      </c>
      <c r="B24" s="8">
        <f>SUMIFS(Dados!$M$2:$M$296,Dados!$D$2:$D$296,"&gt;="&amp;A24,Dados!$D$2:$D$296,"&lt;"&amp;EDATE(A24,1))</f>
        <v>832</v>
      </c>
      <c r="C24" s="7"/>
      <c r="D24" s="7"/>
      <c r="E24" s="7"/>
      <c r="F24" s="7"/>
      <c r="G24" s="7"/>
      <c r="H24" s="7"/>
      <c r="I24" s="7"/>
      <c r="J24" s="7"/>
    </row>
    <row r="25" spans="1:10" x14ac:dyDescent="0.3">
      <c r="A25" s="12">
        <v>45597</v>
      </c>
      <c r="B25" s="8">
        <f>SUMIFS(Dados!$M$2:$M$296,Dados!$D$2:$D$296,"&gt;="&amp;A25,Dados!$D$2:$D$296,"&lt;"&amp;EDATE(A25,1))</f>
        <v>784</v>
      </c>
      <c r="C25" s="7"/>
      <c r="D25" s="7"/>
      <c r="E25" s="7"/>
      <c r="F25" s="7"/>
      <c r="G25" s="7"/>
      <c r="H25" s="7"/>
      <c r="I25" s="7"/>
      <c r="J25" s="7"/>
    </row>
    <row r="26" spans="1:10" x14ac:dyDescent="0.3">
      <c r="A26" s="12">
        <v>45627</v>
      </c>
      <c r="B26" s="8">
        <f>SUMIFS(Dados!$M$2:$M$296,Dados!$D$2:$D$296,"&gt;="&amp;A26,Dados!$D$2:$D$296,"&lt;"&amp;EDATE(A26,1))</f>
        <v>389</v>
      </c>
      <c r="C26" s="7"/>
      <c r="D26" s="7"/>
      <c r="E26" s="7"/>
      <c r="F26" s="7"/>
      <c r="G26" s="7"/>
      <c r="H26" s="7"/>
      <c r="I26" s="7"/>
      <c r="J26" s="7"/>
    </row>
  </sheetData>
  <mergeCells count="1">
    <mergeCell ref="A1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Dados</vt:lpstr>
      <vt:lpstr>Análises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Tulio</dc:creator>
  <cp:lastModifiedBy>Rodrigo Tulio</cp:lastModifiedBy>
  <dcterms:created xsi:type="dcterms:W3CDTF">2015-06-05T18:19:34Z</dcterms:created>
  <dcterms:modified xsi:type="dcterms:W3CDTF">2026-10-17T18:44:25Z</dcterms:modified>
</cp:coreProperties>
</file>